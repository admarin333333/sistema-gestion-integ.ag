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8400" tabRatio="895" firstSheet="8" activeTab="8"/>
  </bookViews>
  <sheets>
    <sheet name="CARATULA" sheetId="36" r:id="rId1"/>
    <sheet name="ESP" sheetId="1" r:id="rId2"/>
    <sheet name="E.R." sheetId="4" r:id="rId3"/>
    <sheet name="EEPN" sheetId="18" r:id="rId4"/>
    <sheet name="EEPN otra version" sheetId="62" r:id="rId5"/>
    <sheet name="EF. IND." sheetId="35" r:id="rId6"/>
    <sheet name="EF.DIR " sheetId="34" r:id="rId7"/>
    <sheet name="EF. Sintetico" sheetId="47" r:id="rId8"/>
    <sheet name="Notas" sheetId="64" r:id="rId9"/>
    <sheet name="Anexo I ActivosPasivos en ME" sheetId="53" r:id="rId10"/>
    <sheet name="Anexo II AyP por Venc." sheetId="54" r:id="rId11"/>
    <sheet name="Anexo II AyP por Venc cont." sheetId="63" r:id="rId12"/>
    <sheet name="Anexo III Bienes de Uso" sheetId="49" r:id="rId13"/>
    <sheet name="Anexo IV Prop de Inv VR" sheetId="56" r:id="rId14"/>
    <sheet name="Anexo IV Prop de Inv MC" sheetId="57" r:id="rId15"/>
    <sheet name="Anexo V Intangibles" sheetId="51" r:id="rId16"/>
    <sheet name="Anexo VI Previsiones" sheetId="52" r:id="rId17"/>
    <sheet name="Anexo VII Cto Bs.Vend-Ss.Prest" sheetId="32" r:id="rId18"/>
    <sheet name="Anexo VIII Cto Prod y Gto x Nat" sheetId="31" r:id="rId19"/>
    <sheet name="Anexo IX Trans y Sdo Part.Rel" sheetId="58" r:id="rId20"/>
    <sheet name="An.IX Trans y SdoPartRel (cont)" sheetId="59" r:id="rId21"/>
  </sheets>
  <definedNames>
    <definedName name="_xlnm.Print_Area" localSheetId="20">'An.IX Trans y SdoPartRel (cont)'!$A$1:$E$23</definedName>
    <definedName name="_xlnm.Print_Area" localSheetId="9">'Anexo I ActivosPasivos en ME'!$A$1:$H$44</definedName>
    <definedName name="_xlnm.Print_Area" localSheetId="11">'Anexo II AyP por Venc cont.'!$A$1:$O$37</definedName>
    <definedName name="_xlnm.Print_Area" localSheetId="10">'Anexo II AyP por Venc.'!$A$1:$O$37</definedName>
    <definedName name="_xlnm.Print_Area" localSheetId="12">'Anexo III Bienes de Uso'!$A$1:$R$31</definedName>
    <definedName name="_xlnm.Print_Area" localSheetId="14">'Anexo IV Prop de Inv MC'!$A$1:$M$26</definedName>
    <definedName name="_xlnm.Print_Area" localSheetId="13">'Anexo IV Prop de Inv VR'!$A$1:$K$26</definedName>
    <definedName name="_xlnm.Print_Area" localSheetId="19">'Anexo IX Trans y Sdo Part.Rel'!$A$1:$I$32</definedName>
    <definedName name="_xlnm.Print_Area" localSheetId="15">'Anexo V Intangibles'!$A$1:$N$25</definedName>
    <definedName name="_xlnm.Print_Area" localSheetId="16">'Anexo VI Previsiones'!$A$1:$O$32</definedName>
    <definedName name="_xlnm.Print_Area" localSheetId="17">'Anexo VII Cto Bs.Vend-Ss.Prest'!$A$1:$F$42</definedName>
    <definedName name="_xlnm.Print_Area" localSheetId="18">'Anexo VIII Cto Prod y Gto x Nat'!$A$1:$J$36</definedName>
    <definedName name="_xlnm.Print_Area" localSheetId="0">CARATULA!$A$1:$J$57</definedName>
    <definedName name="_xlnm.Print_Area" localSheetId="2">E.R.!$A$1:$G$29</definedName>
    <definedName name="_xlnm.Print_Area" localSheetId="3">EEPN!$A$1:$Q$27</definedName>
    <definedName name="_xlnm.Print_Area" localSheetId="4">'EEPN otra version'!$A$1:$O$33</definedName>
    <definedName name="_xlnm.Print_Area" localSheetId="5">'EF. IND.'!$A$1:$F$73</definedName>
    <definedName name="_xlnm.Print_Area" localSheetId="7">'EF. Sintetico'!$A$1:$F$27</definedName>
    <definedName name="_xlnm.Print_Area" localSheetId="6">'EF.DIR '!$A$1:$F$61</definedName>
    <definedName name="_xlnm.Print_Area" localSheetId="1">ESP!$A$1:$N$41</definedName>
    <definedName name="_xlnm.Print_Area" localSheetId="8">Notas!$A$1:$J$430</definedName>
    <definedName name="lista_grupo" localSheetId="11">#REF!</definedName>
    <definedName name="lista_grupo">#REF!</definedName>
    <definedName name="lista_rubro" localSheetId="11">#REF!</definedName>
    <definedName name="lista_rubro">#REF!</definedName>
    <definedName name="lista_subgrupo" localSheetId="11">#REF!</definedName>
    <definedName name="lista_subgru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<sst xmlns="http://schemas.openxmlformats.org/spreadsheetml/2006/main" count="1492" uniqueCount="792">
  <si>
    <t>Nombre de la Entidad</t>
  </si>
  <si>
    <t>ESTADOS CONTABLES ANUALES CORRESPONDIENTES AL EJERCICIO ECONÓMICO N°…</t>
  </si>
  <si>
    <t>INICIADO EL … DE … DE … Y FINALIZADO EL … DE … DE …</t>
  </si>
  <si>
    <t>PRESENTADO EN FORMA COMPARATIVA CON EL EJERCICIO ANTERIOR</t>
  </si>
  <si>
    <t>(Expresado en moneda homogénea - Pesos - a la fecha de cierre)</t>
  </si>
  <si>
    <t xml:space="preserve">CUIT: </t>
  </si>
  <si>
    <t>Domicilio Legal</t>
  </si>
  <si>
    <t>Actividad Principal</t>
  </si>
  <si>
    <t>Actividad/es Secundaria/s:</t>
  </si>
  <si>
    <t>Fecha de inscripción en el Registro Público de Comercio: …/…/…</t>
  </si>
  <si>
    <t>Del Estatuto o Contrato Social de fecha: …/…/….</t>
  </si>
  <si>
    <t>Matrícula N° …-.</t>
  </si>
  <si>
    <t>De la última modificación del Estatuto: …/…/…</t>
  </si>
  <si>
    <t>Identificación del Registro Público de Comercio: …</t>
  </si>
  <si>
    <t>Duración de la entidad:</t>
  </si>
  <si>
    <t>… años</t>
  </si>
  <si>
    <t xml:space="preserve">Fecha de vencimiento de la entidad: </t>
  </si>
  <si>
    <t>…/…/…</t>
  </si>
  <si>
    <t>Unidad de medida en la que se expresan los EECC</t>
  </si>
  <si>
    <t xml:space="preserve">Denominación de la Sociedad controlante: </t>
  </si>
  <si>
    <t>Domicilio legal:</t>
  </si>
  <si>
    <t>Actividad Principal:</t>
  </si>
  <si>
    <t>Participación de la Sociedad controlante sobre el patrimonio:</t>
  </si>
  <si>
    <t>Porcentaje de los votos de la sociedad controlante:</t>
  </si>
  <si>
    <t>Información de los entes controlados en Nota N°</t>
  </si>
  <si>
    <t>COMPOSICIÓN DEL CAPITAL</t>
  </si>
  <si>
    <t>Acciones / Cuotas Sociales en circulacion</t>
  </si>
  <si>
    <t>Capital</t>
  </si>
  <si>
    <t xml:space="preserve">Cantidad </t>
  </si>
  <si>
    <t>Tipo</t>
  </si>
  <si>
    <t>Número de votos que otorga c/u</t>
  </si>
  <si>
    <t xml:space="preserve">Suscripto </t>
  </si>
  <si>
    <t>Integrado</t>
  </si>
  <si>
    <t>Ordinarias</t>
  </si>
  <si>
    <t>Acciones / Cuotas Sociales en cartera</t>
  </si>
  <si>
    <t>ESTADO DE SITUACIÓN PATRIMONIAL
Por el ejercicio finalizado el   …/…/… comparativo con el ejercicio anterior
Cifras expresadas en … (Nota 1.3)</t>
  </si>
  <si>
    <t>ACTIVO</t>
  </si>
  <si>
    <t>$</t>
  </si>
  <si>
    <t>PASIVO</t>
  </si>
  <si>
    <t>Activo corriente</t>
  </si>
  <si>
    <t>Pasivo corriente</t>
  </si>
  <si>
    <t>Caja y Bancos</t>
  </si>
  <si>
    <t>(Nota 2.1 )</t>
  </si>
  <si>
    <t>Deudas con Proveedores de Bienes y Servicios</t>
  </si>
  <si>
    <t>(Nota 2.15)</t>
  </si>
  <si>
    <t>Inversiones Financieras</t>
  </si>
  <si>
    <t>(Nota 2.2 )</t>
  </si>
  <si>
    <t>Préstamos y Otros Pasivos Financieros</t>
  </si>
  <si>
    <t>(Nota 2.16)</t>
  </si>
  <si>
    <t>Cuentas por cobrar a clientes en moneda</t>
  </si>
  <si>
    <t>(Nota 2.3 )</t>
  </si>
  <si>
    <t>Deudas fiscales</t>
  </si>
  <si>
    <t>(Nota 2.17)</t>
  </si>
  <si>
    <t>Cuentas por cobrar a clientes en especie</t>
  </si>
  <si>
    <t>(Nota 2.4 )</t>
  </si>
  <si>
    <t>Deudas Laborales y Previsionales</t>
  </si>
  <si>
    <t>(Nota 2.18)</t>
  </si>
  <si>
    <t>Créditos impositivos</t>
  </si>
  <si>
    <t>(Nota 2.5 )</t>
  </si>
  <si>
    <t>Deudas en Especie</t>
  </si>
  <si>
    <t>(Nota 2.19)</t>
  </si>
  <si>
    <t>Créditos con partes relacionadas</t>
  </si>
  <si>
    <t>(Nota 2.6 )</t>
  </si>
  <si>
    <t>Deudas con Partes Relacionadas</t>
  </si>
  <si>
    <t>(Nota 2.20)</t>
  </si>
  <si>
    <t>Otras cuentas por cobrar en moneda</t>
  </si>
  <si>
    <t>(Nota 2.7 )</t>
  </si>
  <si>
    <t>Otras deudas</t>
  </si>
  <si>
    <t>(Nota 2.21)</t>
  </si>
  <si>
    <t>Otras cuentas por cobrar en especie</t>
  </si>
  <si>
    <t>(Nota 2.8 )</t>
  </si>
  <si>
    <t>Subsidios y otras Ayudas Gubernamentales</t>
  </si>
  <si>
    <t>(Nota 2.22)</t>
  </si>
  <si>
    <t>Bienes de cambio</t>
  </si>
  <si>
    <t>(Nota 2.9 )</t>
  </si>
  <si>
    <t>Previsiones</t>
  </si>
  <si>
    <t>(Nota 2.23) (Anexo VI )</t>
  </si>
  <si>
    <t>Otras Inversiones</t>
  </si>
  <si>
    <t>(Nota 2.12)</t>
  </si>
  <si>
    <t>Otros activos</t>
  </si>
  <si>
    <t>(Nota 2.14)</t>
  </si>
  <si>
    <t>Total del activo corriente</t>
  </si>
  <si>
    <t>Total del pasivo corriente</t>
  </si>
  <si>
    <t>Activo no corriente</t>
  </si>
  <si>
    <t>Pasivo no corriente</t>
  </si>
  <si>
    <t>(Nota 2.2)</t>
  </si>
  <si>
    <t>Créditos con partes relacionadas en Moneda</t>
  </si>
  <si>
    <t>Deudas con Partes Relacionadas en Moneda</t>
  </si>
  <si>
    <t>Bienes de uso</t>
  </si>
  <si>
    <t>(Nota 2.10) (Anexo III)</t>
  </si>
  <si>
    <t>Pasivo Neto por Impuesto Diferido</t>
  </si>
  <si>
    <t>(Nota 7)</t>
  </si>
  <si>
    <t>Propiedades de inversión</t>
  </si>
  <si>
    <t>(Nota 2.11) (Anexo III )</t>
  </si>
  <si>
    <t>Otras inversiones</t>
  </si>
  <si>
    <t>(Nota 2.12 )</t>
  </si>
  <si>
    <t>Activos intangibles</t>
  </si>
  <si>
    <t>(Nota 2.13) (Anexo V)</t>
  </si>
  <si>
    <t>Total del pasivo no corriente</t>
  </si>
  <si>
    <t xml:space="preserve"> TOTAL DEL PASIVO </t>
  </si>
  <si>
    <t>Total del activo no corriente</t>
  </si>
  <si>
    <t xml:space="preserve"> PATRIMONIO NETO  (según el estado correspondiente)</t>
  </si>
  <si>
    <t xml:space="preserve"> TOTAL  DEL  ACTIVO</t>
  </si>
  <si>
    <t xml:space="preserve"> TOTAL DEL PASIVO Y PATRIM. NETO</t>
  </si>
  <si>
    <t>Las notas y anexos que se acompañan forman parte integrante de los estados contables.</t>
  </si>
  <si>
    <t>Firmado a los efectos de su identificación con mi informe de fecha …/…/…</t>
  </si>
  <si>
    <t>Cr./Cra.</t>
  </si>
  <si>
    <t>Matrícula - CPCE CBA</t>
  </si>
  <si>
    <t>Contador/a Público/a - Universidad</t>
  </si>
  <si>
    <t>ESTADO DE RESULTADOS</t>
  </si>
  <si>
    <t>Por el ejercicio finalizado el   …/…/… comparativo con el ejercicio anterior
Cifras expresadas en … (Nota 1.3)</t>
  </si>
  <si>
    <t>Ingresos netos por la Venta de bienes y prestación de servicios</t>
  </si>
  <si>
    <t>(Nota 3.1 )</t>
  </si>
  <si>
    <t>Costo de bienes vendidos y servicios prestados</t>
  </si>
  <si>
    <t>(Nota 3.3 ) (Anexo VII)</t>
  </si>
  <si>
    <t>Ganancia  (Pérdida)  bruta</t>
  </si>
  <si>
    <t>Gastos de administración</t>
  </si>
  <si>
    <t>(Anexo VIII)</t>
  </si>
  <si>
    <t>Gastos de comercialización</t>
  </si>
  <si>
    <t>Otros gastos operativos</t>
  </si>
  <si>
    <t xml:space="preserve">Cambios en el valor razonable de propiedades de inversión </t>
  </si>
  <si>
    <t>(Anexo IV)</t>
  </si>
  <si>
    <t>Pérdidas por desvalorizacion (Reversión Pérdidas por desvalorización)</t>
  </si>
  <si>
    <t>(Nota 3.6 )</t>
  </si>
  <si>
    <t>Otros Resultados Financieros y por Tenencia (incluyendo el RECPAM)</t>
  </si>
  <si>
    <t>(Nota 3.5 )</t>
  </si>
  <si>
    <t>Otros Ingresos</t>
  </si>
  <si>
    <t>(Nota 3.4 )</t>
  </si>
  <si>
    <t>Otros Egresos</t>
  </si>
  <si>
    <t>Ganancia (Pérdida) antes del impuesto a las ganancias de operaciones que continúan</t>
  </si>
  <si>
    <t>Impuesto a las ganancias</t>
  </si>
  <si>
    <t>(Nota 7 )</t>
  </si>
  <si>
    <t>Ganancia (Pérdida) de las operaciones que continúan</t>
  </si>
  <si>
    <t>Resultados por actividades u operaciones discontinuadas (o en discontinuación)</t>
  </si>
  <si>
    <t>(Nota 3.7 )</t>
  </si>
  <si>
    <t>GANANCIA (PERDIDA) DEL EJERCICIO</t>
  </si>
  <si>
    <t>ESTADO DE EVOLUCION DEL PATRIMONIO NETO</t>
  </si>
  <si>
    <t>APORTES DE LOS PROPIETARIOS</t>
  </si>
  <si>
    <t>RESULTADOS  ACUMULADOS</t>
  </si>
  <si>
    <t xml:space="preserve">TOTALES </t>
  </si>
  <si>
    <t>D E T A L L E</t>
  </si>
  <si>
    <t>Capital Social</t>
  </si>
  <si>
    <t>Ajustes del Capital</t>
  </si>
  <si>
    <t>Aportes Irrevocables</t>
  </si>
  <si>
    <t>Primas de Emisión</t>
  </si>
  <si>
    <t>Total</t>
  </si>
  <si>
    <t>Ganancias Reservadas</t>
  </si>
  <si>
    <t>Resultados No Asignados</t>
  </si>
  <si>
    <t>Resultados Diferidos</t>
  </si>
  <si>
    <t>Reserva Legal</t>
  </si>
  <si>
    <t>Otras Reservas</t>
  </si>
  <si>
    <t>Saldos al inicio del ejercicio</t>
  </si>
  <si>
    <t xml:space="preserve">Modificacion de saldos al inicio del ejercicio </t>
  </si>
  <si>
    <t>(Nota 1.6 )</t>
  </si>
  <si>
    <t xml:space="preserve"> Saldos al inicio del ejercicio modificados</t>
  </si>
  <si>
    <t xml:space="preserve"> Suscripción de capital</t>
  </si>
  <si>
    <t>(*)</t>
  </si>
  <si>
    <t xml:space="preserve"> Distribución de resultados no asignados:</t>
  </si>
  <si>
    <t>(**)</t>
  </si>
  <si>
    <t xml:space="preserve">   &gt; Reserva legal / Otras Reservas</t>
  </si>
  <si>
    <t xml:space="preserve">   &gt; Dividendos en efectivo (o especie)</t>
  </si>
  <si>
    <t xml:space="preserve">   &gt; Dividendos en acciones</t>
  </si>
  <si>
    <t xml:space="preserve"> Ganancia (Pérdida) del ejercicio</t>
  </si>
  <si>
    <t>... ...</t>
  </si>
  <si>
    <t xml:space="preserve"> Saldos al cierre del ejercicio</t>
  </si>
  <si>
    <t>(*) aprobadas/os por ................. del xx/xx/xxxx</t>
  </si>
  <si>
    <t>(**) aprobadas/or por ------------- del xx/xx/xxxx</t>
  </si>
  <si>
    <t>APORTES DE LOS ASOCIADOS</t>
  </si>
  <si>
    <t>Resultados acumulados</t>
  </si>
  <si>
    <t>Totales</t>
  </si>
  <si>
    <t>Ajustes Capital</t>
  </si>
  <si>
    <t>Primas de emisión</t>
  </si>
  <si>
    <t>Saldos al dd/mm/aaaa</t>
  </si>
  <si>
    <t>AREA (modificación de resultados de ejercicios anteriores)</t>
  </si>
  <si>
    <t xml:space="preserve">Saldos al dd/mm/aaaa modificados
</t>
  </si>
  <si>
    <r>
      <rPr>
        <sz val="10"/>
        <rFont val="Arial"/>
        <charset val="134"/>
      </rPr>
      <t xml:space="preserve">Suscripción de capital social </t>
    </r>
    <r>
      <rPr>
        <sz val="10"/>
        <color rgb="FFFF0000"/>
        <rFont val="Arial"/>
        <charset val="134"/>
      </rPr>
      <t>(*)</t>
    </r>
  </si>
  <si>
    <r>
      <rPr>
        <sz val="10"/>
        <rFont val="Arial"/>
        <charset val="134"/>
      </rPr>
      <t xml:space="preserve">Distribución de superavits no asignados </t>
    </r>
    <r>
      <rPr>
        <sz val="10"/>
        <color rgb="FFFF0000"/>
        <rFont val="Arial"/>
        <charset val="134"/>
      </rPr>
      <t>(**)</t>
    </r>
    <r>
      <rPr>
        <sz val="10"/>
        <rFont val="Arial"/>
        <charset val="134"/>
      </rPr>
      <t xml:space="preserve"> a:</t>
    </r>
  </si>
  <si>
    <t>&gt;reservas para fines específicos</t>
  </si>
  <si>
    <t>&gt;otras reservas</t>
  </si>
  <si>
    <r>
      <rPr>
        <sz val="10"/>
        <rFont val="Arial"/>
        <charset val="134"/>
      </rPr>
      <t xml:space="preserve">Absorción de déficits no asignados </t>
    </r>
    <r>
      <rPr>
        <sz val="10"/>
        <color rgb="FFFF0000"/>
        <rFont val="Arial"/>
        <charset val="134"/>
      </rPr>
      <t>(**)</t>
    </r>
  </si>
  <si>
    <t xml:space="preserve">Superávit (déficit) final del ejercicio
</t>
  </si>
  <si>
    <t>Saldos al …/…/…</t>
  </si>
  <si>
    <r>
      <rPr>
        <sz val="10"/>
        <rFont val="Arial"/>
        <charset val="134"/>
      </rPr>
      <t>Distribución de superavits no asignados</t>
    </r>
    <r>
      <rPr>
        <sz val="10"/>
        <color rgb="FFFF0000"/>
        <rFont val="Arial"/>
        <charset val="134"/>
      </rPr>
      <t xml:space="preserve"> (**)</t>
    </r>
    <r>
      <rPr>
        <sz val="10"/>
        <rFont val="Arial"/>
        <charset val="134"/>
      </rPr>
      <t xml:space="preserve"> a:</t>
    </r>
  </si>
  <si>
    <t>(*) Aprobadas/os por ……. Del dd/mm/aaaa Y ………………… del  dd/mm/aaaa, respectivamente</t>
  </si>
  <si>
    <t>(**) Aprobadas/os por ……. Del dd/mm/aaaa Y ………………… del  dd/mm/aaaa, respectivamente</t>
  </si>
  <si>
    <t>ESTADO DE FLUJOS DE EFECTIVO  (Método indirecto)</t>
  </si>
  <si>
    <t>VARIACIONES DEL EFECTIVO Y SUS EQUIVALENTES</t>
  </si>
  <si>
    <t>Efectivo y sus equivalentes al inicio del ejercicio</t>
  </si>
  <si>
    <t>Modificación de ejercicios anteriores</t>
  </si>
  <si>
    <t>Efectivo y sus equivalentes modificado al inicio del ejercicio</t>
  </si>
  <si>
    <t>(Nota 5 )</t>
  </si>
  <si>
    <t>Efectivo y sus equivalentes al cierre del ejercicio</t>
  </si>
  <si>
    <t xml:space="preserve">Aumento (disminución) neto(a) del efectivo y sus equivalentes </t>
  </si>
  <si>
    <t>CAUSAS DE LAS VARIACIONES DEL EFECTIVO Y SUS EQUIVALENTES</t>
  </si>
  <si>
    <t xml:space="preserve"> ACTIVIDADES OPERATIVAS</t>
  </si>
  <si>
    <t>Ganancia (Pérdida) ordinaria del ejercicio</t>
  </si>
  <si>
    <t>(Nota ... )</t>
  </si>
  <si>
    <t xml:space="preserve">    Mas (Menos) Intereses ganados y perdidos, dividendos ganados e  impuesto a las ganancias devengados ejercicio</t>
  </si>
  <si>
    <t>Ajustes para arribar al FNE generado por (utilizado en ) las actividades operativas</t>
  </si>
  <si>
    <t xml:space="preserve">  Depreciación de bienes de uso y propiedades de inversion</t>
  </si>
  <si>
    <t xml:space="preserve">  Amortización de activos intangibles</t>
  </si>
  <si>
    <t xml:space="preserve">  Resultados por ventas de bienes de uso, activos intangibles, propiedades de inversion y otras inversiones</t>
  </si>
  <si>
    <t xml:space="preserve">  Resultado por cambios en el Valor razonable de propiedades de inversión</t>
  </si>
  <si>
    <t xml:space="preserve">  Resultados financieros y por tenencia generados por el efectivo y sus equivalentes</t>
  </si>
  <si>
    <t xml:space="preserve">  Otros resultados financieros y por tenencia (incluido RECPAM) generados por el efectivo y sus equivalentes</t>
  </si>
  <si>
    <t xml:space="preserve">  Depreciación de bienes de uso, activos intangibles y propiedades de inversion</t>
  </si>
  <si>
    <t xml:space="preserve">  Resultados de inversiones en entes relacionados</t>
  </si>
  <si>
    <t xml:space="preserve">  Resultados por medicion a VNR de las propiedades de inversión</t>
  </si>
  <si>
    <t xml:space="preserve">... ... </t>
  </si>
  <si>
    <t>Cambios en activos y pasivos operativos</t>
  </si>
  <si>
    <t>(Aumento) Disminución en cuentas a cobrar por clientes</t>
  </si>
  <si>
    <t>(Aumento) Disminución en otras cuentas por cobrar</t>
  </si>
  <si>
    <t>(Aumento) Disminución en bienes de cambio</t>
  </si>
  <si>
    <t>(Aumento) Disminución en activos biológicos</t>
  </si>
  <si>
    <t>(Aumento) Disminución en deudas con proveedores de bienes y servicios</t>
  </si>
  <si>
    <t>(Aumento) Disminución en deudas fiscales</t>
  </si>
  <si>
    <t>(Aumento) Disminución en deudas laborales y previsionales</t>
  </si>
  <si>
    <t>(Aumento) Disminución en otras deudas</t>
  </si>
  <si>
    <r>
      <rPr>
        <sz val="10"/>
        <rFont val="Arial"/>
        <charset val="134"/>
      </rPr>
      <t xml:space="preserve">Cobros de dividendos </t>
    </r>
    <r>
      <rPr>
        <sz val="10"/>
        <color rgb="FFFF0000"/>
        <rFont val="Arial"/>
        <charset val="134"/>
      </rPr>
      <t>(2)</t>
    </r>
  </si>
  <si>
    <r>
      <rPr>
        <sz val="10"/>
        <rFont val="Arial"/>
        <charset val="134"/>
      </rPr>
      <t>Pagos de dividendos</t>
    </r>
    <r>
      <rPr>
        <sz val="10"/>
        <color rgb="FFFF0000"/>
        <rFont val="Arial"/>
        <charset val="134"/>
      </rPr>
      <t xml:space="preserve"> (1)</t>
    </r>
  </si>
  <si>
    <r>
      <rPr>
        <sz val="10"/>
        <rFont val="Arial"/>
        <charset val="134"/>
      </rPr>
      <t>Cobros de intereses</t>
    </r>
    <r>
      <rPr>
        <sz val="10"/>
        <color rgb="FFFF0000"/>
        <rFont val="Arial"/>
        <charset val="134"/>
      </rPr>
      <t xml:space="preserve"> (2)</t>
    </r>
  </si>
  <si>
    <r>
      <rPr>
        <sz val="10"/>
        <rFont val="Arial"/>
        <charset val="134"/>
      </rPr>
      <t xml:space="preserve">Pagos de intereses </t>
    </r>
    <r>
      <rPr>
        <sz val="10"/>
        <color rgb="FFFF0000"/>
        <rFont val="Arial"/>
        <charset val="134"/>
      </rPr>
      <t>(1)</t>
    </r>
  </si>
  <si>
    <t>Pagos del impuesto a las ganancias</t>
  </si>
  <si>
    <t>Flujo neto efectivo generado por (aplicado en) las actividades operativas</t>
  </si>
  <si>
    <t xml:space="preserve"> ACTIVIDADES DE INVERSION</t>
  </si>
  <si>
    <t>Pagos por compras de bienes de uso o propiedades de inversion</t>
  </si>
  <si>
    <t>Pagos por compras de activos intangibles</t>
  </si>
  <si>
    <t>Pagos por compras de otras inversiones</t>
  </si>
  <si>
    <t>Cobros por venta de bienes de uso o propiedades de inversion</t>
  </si>
  <si>
    <t>Cobros por ventas de activos intangibles</t>
  </si>
  <si>
    <t>Cobros por ventas de otras inversiones</t>
  </si>
  <si>
    <t>Pagos por adquisicion de titulos, acciones y otros instrumentos de deuda o patrimonio que no califican como equivalentes de efectivo</t>
  </si>
  <si>
    <t>Cobros por ventas o reembolso de titulos, acciones u otros instrumentos de deuda o patrimonio que no califican como equivalentes de efectivo</t>
  </si>
  <si>
    <t>Cobros de subsidios relacionados con la adquisicion de activos a largo plazo</t>
  </si>
  <si>
    <t>Pagos por adquisición de participaciones en otros entes</t>
  </si>
  <si>
    <t>Flujo neto efectivo generado por (utilizado en) las actividades de inversión</t>
  </si>
  <si>
    <t xml:space="preserve"> ACTIVIDADES DE FINANCIACION</t>
  </si>
  <si>
    <t>Cobros por la emision de acciones, aportes de cuotas sociales u otros instruymentos de patrimonio</t>
  </si>
  <si>
    <t>Cobros por la obtencion de prestamos, emisión de obligaciones negociables u otros instrumentos de deuda</t>
  </si>
  <si>
    <t>Pagos por préstamos u otros instrumentos de deuda</t>
  </si>
  <si>
    <t>Pagos de cuotas de arrendamientos financieros</t>
  </si>
  <si>
    <t>Flujo neto efectivo generado por (aplicado en) actividades de financiación</t>
  </si>
  <si>
    <t xml:space="preserve">Resultados financieros y por tenencia generados por el efectivo y sus equivalentes </t>
  </si>
  <si>
    <t xml:space="preserve"> Aumento (Disminución) neto(a) del efectivo y sus equivalentes</t>
  </si>
  <si>
    <t>(1) En el modelo, los pagos de dividendos e intereses se presentan en las actividaddes operativas. Una entidad podría optar por clasificarlos en las actividades de financiación (RT.54 P.663)</t>
  </si>
  <si>
    <t>(2) En el modelo, los cobros de dividendos e intereses se presentan en las actividades operativas. Una entidad podría optar por clasificarlos en las actividades de inversión (RT.54 P.664)</t>
  </si>
  <si>
    <t>ESTADO DE FLUJOS DE EFECTIVO  (Método directo)</t>
  </si>
  <si>
    <t>Cobros por ventas de bienes y servicios</t>
  </si>
  <si>
    <t xml:space="preserve">Pagos a proveedores de bienes y servicios </t>
  </si>
  <si>
    <t>Pagos al personal y cargas sociales</t>
  </si>
  <si>
    <t>Pagos de otros impuestos</t>
  </si>
  <si>
    <t>Pagos por compras de acciones o títulos de deuda de negociación habitual</t>
  </si>
  <si>
    <t>Cobros por compras de acciones o títulos de deuda de negociación habitual</t>
  </si>
  <si>
    <t>Pagos de honorarios a directores y síndico</t>
  </si>
  <si>
    <r>
      <rPr>
        <sz val="10"/>
        <rFont val="Arial"/>
        <charset val="134"/>
      </rPr>
      <t xml:space="preserve">Cobros de intereses </t>
    </r>
    <r>
      <rPr>
        <sz val="10"/>
        <color rgb="FFFF0000"/>
        <rFont val="Arial"/>
        <charset val="134"/>
      </rPr>
      <t>(2)</t>
    </r>
  </si>
  <si>
    <r>
      <rPr>
        <sz val="10"/>
        <rFont val="Arial"/>
        <charset val="134"/>
      </rPr>
      <t>Pagos de intereses</t>
    </r>
    <r>
      <rPr>
        <sz val="10"/>
        <color rgb="FFFF0000"/>
        <rFont val="Arial"/>
        <charset val="134"/>
      </rPr>
      <t xml:space="preserve"> (1)</t>
    </r>
  </si>
  <si>
    <t>FNE generado por (utilizado en) las actividades operativas</t>
  </si>
  <si>
    <t>Cobros por compras de bienes de uso o propiedades de inversion</t>
  </si>
  <si>
    <t>Cobros por compras de activos intangibles</t>
  </si>
  <si>
    <t>Cobros por compras de otras inversiones</t>
  </si>
  <si>
    <t>Pagos por adquisicion de titulos, acciones u otros instrumentos de deuda o patrimonio que no califican como equivalentes de efectivo</t>
  </si>
  <si>
    <t>Cobros por ventas o reembolso de titulos, acciones y otros instrumentos de deuda o patrimonio que no califican como equivalentes de efectivo</t>
  </si>
  <si>
    <t>Pagos (o cobros) por compras (o ventas) de bienes de uso</t>
  </si>
  <si>
    <t>Cobrado reintegros (pagos) de préstamos hechos a terceros</t>
  </si>
  <si>
    <t>FNE generado por (utilizado en) las actividades de inversión</t>
  </si>
  <si>
    <t>Cobros de aportes de capital en efectivo</t>
  </si>
  <si>
    <t>Cobros por la emisión de acciones, aportes de cuotas sociales u otros instrumentos de patrimonio</t>
  </si>
  <si>
    <t>Cobros por la obtencion de préstamos, emision de obligaciones negociables u otros instrumentos de deuda</t>
  </si>
  <si>
    <t>Pagos de préstamos u otros instrumentos de deuda</t>
  </si>
  <si>
    <t>FNE generado por (utilizado en) las actividades de financiación</t>
  </si>
  <si>
    <t>Resultados financieros y por tenencia generados por el efectivo y sus equivalentes</t>
  </si>
  <si>
    <t xml:space="preserve"> Aumento (Disminución) neto del efectivo y sus equivalentes</t>
  </si>
  <si>
    <r>
      <rPr>
        <b/>
        <sz val="10"/>
        <rFont val="Arial"/>
        <charset val="134"/>
      </rPr>
      <t xml:space="preserve">ESTADO DE FLUJOS DE EFECTIVO  (Método sintético) </t>
    </r>
    <r>
      <rPr>
        <b/>
        <sz val="10"/>
        <color rgb="FFFF0000"/>
        <rFont val="Arial"/>
        <charset val="134"/>
      </rPr>
      <t>(1)</t>
    </r>
  </si>
  <si>
    <r>
      <rPr>
        <b/>
        <sz val="10"/>
        <rFont val="Arial"/>
        <charset val="134"/>
      </rPr>
      <t xml:space="preserve">(Ver nota ….) </t>
    </r>
    <r>
      <rPr>
        <b/>
        <sz val="10"/>
        <color rgb="FFFF0000"/>
        <rFont val="Arial"/>
        <charset val="134"/>
      </rPr>
      <t>(2)</t>
    </r>
  </si>
  <si>
    <t>Por el ejercicio anual finalizado el …/…/… - Comparativo con el ejercicio anterior</t>
  </si>
  <si>
    <t>Flujo neto de efectivo generado por (utilizado en) las actividades operativas</t>
  </si>
  <si>
    <t>Flujo neto de efectivo generado por (utilizado en) las actividades de inversion</t>
  </si>
  <si>
    <t>Flujo neto de efectivo generado por (utilizado en) las actividades de financiamiento</t>
  </si>
  <si>
    <t>(1) El párrafo 666 de la RT 54 establece que, cuando prepare sus estados contables según lo establecido en la sección "Expresión de los EECC en moneda de cierre en un contexto de inflación (Ajuste por inflación de los EECC)" [ver los párrafos 176 a 200 de la RT54], cualquier entidad - excepto que se trate de una entidad sin fines de lucro o de una cooperativa, comprendidas en la clasificación del inciso c) del párrafo 5 - podrá presentar el estado de flijos de efectivo en forma sintética</t>
  </si>
  <si>
    <t>(2) En el párrafo 667, inc. c) de la RT54 se requiere que cuando una entidad use la presentación simplificada, revele en notas que tal simplificación limita la información disponible para el análisis e interpretacion de los EECC; y sobre la capacidad de la entidad para generar dfondos y la forma en que los aplica.</t>
  </si>
  <si>
    <t>NOTAS A LOS ESTADOS CONTABLES</t>
  </si>
  <si>
    <t>1. Notas generales
1.1. Bases de preparación de los estados contables</t>
  </si>
  <si>
    <t>REFERENCIAS RT54</t>
  </si>
  <si>
    <r>
      <rPr>
        <b/>
        <u/>
        <sz val="10"/>
        <color theme="9" tint="-0.499984740745262"/>
        <rFont val="Arial"/>
        <charset val="134"/>
      </rPr>
      <t xml:space="preserve">Para descargar el MODELO DE NOTAS DE BASES DE PREPARACIÓN, </t>
    </r>
    <r>
      <rPr>
        <b/>
        <u/>
        <sz val="10"/>
        <color rgb="FF0000EE"/>
        <rFont val="Arial"/>
        <charset val="134"/>
      </rPr>
      <t>haga clic aquí</t>
    </r>
  </si>
  <si>
    <t>(Texto sugerido)
Los presentes estados contables han sido preparados de conformidad con la Resolución Técnica N° 54, texto ordenado por la RT56 y RT59, emitida por la Federación Argentina de Consejos Profesionales de Ciencias Económicas (FACPCE), tal y como fue aprobada por el Consejo Profesional de Ciencias Económicas de Córdoba.</t>
  </si>
  <si>
    <t>(párrs. 674 a,
b y c)</t>
  </si>
  <si>
    <r>
      <rPr>
        <b/>
        <sz val="9"/>
        <rFont val="Arial"/>
        <charset val="134"/>
      </rPr>
      <t>1.2. Clasificación de la entidad</t>
    </r>
    <r>
      <rPr>
        <sz val="9"/>
        <rFont val="Arial"/>
        <charset val="134"/>
      </rPr>
      <t xml:space="preserve">
(Texto sugerido, si es una entidad pequeña)
De acuerdo con lo establecido por la referida norma, la Sociedad reviste el carácter de entidad pequeña (1).
(Texto sugerido, si es una entidad mediana)
De acuerdo con lo establecido por la referida norma, la Sociedad reviste el carácter de entidad mediana (1).
(1) En el caso de que una entidad pequeña o una entidad mediana seleccione políticas contables de un nivel superior, deberá exteriorizarlo (RT 54, párr, 74).
(Texto sugerido, si no es una entidad pequeña ni una entidad mediana)
De acuerdo con lo establecido por la referida norma, la Sociedad no reviste el carácter de entidad pequeña o de entidad mediana.</t>
    </r>
  </si>
  <si>
    <r>
      <rPr>
        <b/>
        <sz val="9"/>
        <color rgb="FF000000"/>
        <rFont val="Arial"/>
        <charset val="134"/>
      </rPr>
      <t>1.3. Unidad de medida (Texto sugerido) Información general</t>
    </r>
    <r>
      <rPr>
        <sz val="9"/>
        <color rgb="FF000000"/>
        <rFont val="Arial"/>
        <charset val="134"/>
      </rPr>
      <t xml:space="preserve">
Los presentes estados contables han sido preparados en moneda homogénea (pesos de de 20….),
reconociendo en forma integral los efectos de la inflación de conformidad con lo establecido en la RT 54, en virtud de haberse determinado la existencia de un contexto de alta inflación.
Con fines comparativos, se incluyen cifras patrimoniales al …/…/… y de resultados, de evolución del patrimonio neto y de flujos de efectivo por el ejercicio económico finalizado en esa fecha. Dichas cifras han sido expresadas en moneda de cierre del presente ejercicio, de acuerdo con lo señalado en el párrafo siguiente, a fin de permitir su comparabilidad y sin que el ajuste practicado modifique las decisiones tomadas con base en la información contable correspondiente al ejercicio comparativo.
Descripción del proceso de expresión a moneda de cierre
A efectos de expresar las diferentes partidas y rubros que integran los estados contables, la Entidad deberá, entre otras cosas:
•  Determinar el momento de origen de las partidas (o el momento de su último ajuste, según corresponda).
•  Calcular los coeficientes de ajuste aplicables. A tal efecto se utiliza la serie de índices definida por la FACPCE en la Resolución JG N° 539/2018 y sus modificatorias. La variación del índice utilizado para el ajuste de los estados contables ha sido del xx,xx % en el ejercicio económico finalizado el …/…/… y del xx,xx % el ejercicio comparativo.
•  Aplicar los coeficientes de ajuste a los importes de las partidas anticuadas para expresarlas en moneda de cierre. A este respecto, las partidas que deberán ajustarse serán aquellas que no estén expresadas en moneda de cierre.
La aplicación del proceso de ajuste por inflación establecido en la RT 54 TO RT 56 permite el reconocimiento de las ganancias y pérdidas derivadas del mantenimiento de activos y pasivos expuestos a los cambios en el poder adquisitivo de la moneda a lo largo del ejercicio. Tales ganancias y pérdidas se exponen en el rubro “Otros resultados financieros y por tenencia (incluyendo el resultado por los cambios en el poder adquisitivo de la moneda” del Estado de Resultados.
Para la preparación de los presentes estados contables, el órgano de administración de la entidad ha utilizado las siguientes simplificaciones dispuestas por la Resolución N° 539/2018 (FACPCE), y en la RT 54:
{Indicar las simplificaciones utilizadas, de corresponder}
Los presentes estados contables deben ser leídos e interpretados considerando las limitaciones que la utilización de las dispensas antes mencionadas podría provocar sobre la información en ellos contenida.</t>
    </r>
  </si>
  <si>
    <t>(párr. 681)</t>
  </si>
  <si>
    <t>1.4. Uso de estimaciones en la preparación de los presentes estados contables</t>
  </si>
  <si>
    <t>[Completar (de corresponder): Información a revelar sobre uso de estimaciones en la preparación de los presentes estados contables].</t>
  </si>
  <si>
    <t>(párrs. 683 y
684)</t>
  </si>
  <si>
    <r>
      <rPr>
        <b/>
        <sz val="9"/>
        <rFont val="Arial"/>
        <charset val="134"/>
      </rPr>
      <t xml:space="preserve">1.5. Circunstancias que afectan la comparabilidad
</t>
    </r>
    <r>
      <rPr>
        <sz val="9"/>
        <rFont val="Arial"/>
        <charset val="134"/>
      </rPr>
      <t>[Completar (de corresponder): Información a revelar sobre circunstancias que afectan la comparabilidad].</t>
    </r>
  </si>
  <si>
    <t>(párrs. 689 y
690)</t>
  </si>
  <si>
    <r>
      <rPr>
        <b/>
        <sz val="9"/>
        <color rgb="FF000000"/>
        <rFont val="Arial"/>
        <charset val="134"/>
      </rPr>
      <t xml:space="preserve">1.6. Modificación a la información de ejercicios anteriores
</t>
    </r>
    <r>
      <rPr>
        <sz val="9"/>
        <color rgb="FF000000"/>
        <rFont val="Arial"/>
        <charset val="134"/>
      </rPr>
      <t>[Completar (de corresponder): Información a revelar sobre causas y cuantificación de efectos por modificación a la información de ejercicios anteriores].</t>
    </r>
  </si>
  <si>
    <t>(párrs. 694 a
697)</t>
  </si>
  <si>
    <t>1.7. Empresa en marcha</t>
  </si>
  <si>
    <t>[Completar (de corresponder): Información sobre la existencia de incertidumbres significativas relativas a
eventos o condiciones que aporten dudas importantes sobre la posibilidad de que la entidad siga funcionando normalmente en el futuro previsible].</t>
  </si>
  <si>
    <t>(párrs. 14 a
17)</t>
  </si>
  <si>
    <t>2. Notas al Estado de Situación Patrimonial</t>
  </si>
  <si>
    <r>
      <rPr>
        <b/>
        <sz val="9"/>
        <rFont val="Arial"/>
        <charset val="134"/>
      </rPr>
      <t>2.1. Caja y bancos</t>
    </r>
    <r>
      <rPr>
        <sz val="9"/>
        <rFont val="Arial"/>
        <charset val="134"/>
      </rPr>
      <t xml:space="preserve">
-   Criterios de medición contable
-   Composición del rubro
Ver Anexo I - Activos y pasivos en moneda extranjera.</t>
    </r>
  </si>
  <si>
    <t>Conceptos</t>
  </si>
  <si>
    <t>Actual</t>
  </si>
  <si>
    <t>Comparativo</t>
  </si>
  <si>
    <t>Efectivo Fondo fijo</t>
  </si>
  <si>
    <t>Depósitos en cuentas bancarias</t>
  </si>
  <si>
    <t>Valores a depositar</t>
  </si>
  <si>
    <t>Otras disponibilidades</t>
  </si>
  <si>
    <r>
      <rPr>
        <b/>
        <sz val="9"/>
        <rFont val="Arial"/>
        <charset val="134"/>
      </rPr>
      <t>2.2. Inversiones financieras</t>
    </r>
    <r>
      <rPr>
        <sz val="9"/>
        <rFont val="Arial"/>
        <charset val="134"/>
      </rPr>
      <t xml:space="preserve">
-   Criterios de medición contable
-   Composición del rubro
-   Valor razonable de las inversiones medidas al costo amortizado que cotizan en un mercado activo
Ver Anexo I - Activos y pasivos en moneda extranjera, y Anexo II - Activos y pasivos por vencimiento.</t>
    </r>
  </si>
  <si>
    <t>(párrs. 232 a
234)</t>
  </si>
  <si>
    <t>Corriente</t>
  </si>
  <si>
    <t>No corriente</t>
  </si>
  <si>
    <t>Títulos públicos con cotización</t>
  </si>
  <si>
    <t>Obligaciones negociables con cotización</t>
  </si>
  <si>
    <t>Otros títulos privados con cotización</t>
  </si>
  <si>
    <t>Acciones con cotización</t>
  </si>
  <si>
    <t>Acciones sin cotización</t>
  </si>
  <si>
    <t>Fondos comunes de inversión</t>
  </si>
  <si>
    <t>Depósitos a plazo fijo</t>
  </si>
  <si>
    <t>Otros</t>
  </si>
  <si>
    <t>Subtotal</t>
  </si>
  <si>
    <t>Previsión para desvalorización de
inversiones financieras (Anexo VI)</t>
  </si>
  <si>
    <r>
      <rPr>
        <b/>
        <sz val="9"/>
        <rFont val="Arial"/>
        <charset val="134"/>
      </rPr>
      <t>2.3. Cuentas por cobrar a clientes en moneda</t>
    </r>
    <r>
      <rPr>
        <sz val="9"/>
        <rFont val="Arial"/>
        <charset val="134"/>
      </rPr>
      <t xml:space="preserve">
-   Criterios de medición contable
-   Composición del Rubro</t>
    </r>
  </si>
  <si>
    <t>(párrs. 265 a
268)</t>
  </si>
  <si>
    <t>Cheques de cobro diferido</t>
  </si>
  <si>
    <t>Deudores por ventas</t>
  </si>
  <si>
    <t>Deudores morosos</t>
  </si>
  <si>
    <t>Deudores en gestión judicial</t>
  </si>
  <si>
    <t>Derechos de facturar a clientes</t>
  </si>
  <si>
    <t>Previsión para desvalorización de
cuentas por cobrar a clientes en moneda (Anexo VI)</t>
  </si>
  <si>
    <t>Ver Anexo I - Activos y pasivos en moneda extranjera, y Anexo II - Activos y pasivos por vencimiento.</t>
  </si>
  <si>
    <r>
      <rPr>
        <b/>
        <sz val="9"/>
        <rFont val="Arial"/>
        <charset val="134"/>
      </rPr>
      <t>2.4. Cuentas por cobrar a clientes en especie</t>
    </r>
    <r>
      <rPr>
        <sz val="9"/>
        <rFont val="Arial"/>
        <charset val="134"/>
      </rPr>
      <t xml:space="preserve">
-   Criterios de medición contable
-   Composición del rubro</t>
    </r>
  </si>
  <si>
    <t>Previsión para desvalorización de cuentas por cobrar a clientes en especie
(Anexo VI)</t>
  </si>
  <si>
    <t>Total, Cuentas por cobrar a clientes en especie</t>
  </si>
  <si>
    <t>Ver Anexo II - Activos y pasivos por vencimiento.</t>
  </si>
  <si>
    <r>
      <rPr>
        <b/>
        <sz val="9"/>
        <rFont val="Arial"/>
        <charset val="134"/>
      </rPr>
      <t>2.5. Créditos impositivos</t>
    </r>
    <r>
      <rPr>
        <sz val="9"/>
        <rFont val="Arial"/>
        <charset val="134"/>
      </rPr>
      <t xml:space="preserve">
-   Criterios de medición contable
-   Composición del rubro
Ver Anexo II - Activos y pasivos por vencimiento.</t>
    </r>
  </si>
  <si>
    <t>Anticipos del impuesto a las ganancias</t>
  </si>
  <si>
    <t>Retenciones del impuesto a las
ganancias</t>
  </si>
  <si>
    <t>Saldos a favor del impuesto a las ganancias</t>
  </si>
  <si>
    <t>Menos: Impuesto a las ganancias a pagar</t>
  </si>
  <si>
    <t>Retenciones y percepciones del
impuesto sobre los ingresos brutos</t>
  </si>
  <si>
    <t>Menos: Impuesto sobre los ingresos brutos a pagar</t>
  </si>
  <si>
    <t>Previsión para desvalorización de créditos impositivos (Anexo VI)</t>
  </si>
  <si>
    <r>
      <rPr>
        <b/>
        <sz val="9"/>
        <rFont val="Arial"/>
        <charset val="134"/>
      </rPr>
      <t>2.6. Créditos con partes relacionadas</t>
    </r>
    <r>
      <rPr>
        <sz val="9"/>
        <rFont val="Arial"/>
        <charset val="134"/>
      </rPr>
      <t xml:space="preserve">
-   Criterios de medición contable
-   Composición del rubro
Ver Anexo I- Activos y pasivos en moneda extranjera, Anexo II - Activos y pasivos por vencimiento, y Anexo IX – Transacciones y saldos de partes relacionadas.</t>
    </r>
  </si>
  <si>
    <r>
      <rPr>
        <b/>
        <sz val="9"/>
        <rFont val="Arial"/>
        <charset val="134"/>
      </rPr>
      <t>2.7. Otras cuentas por cobrar en moneda</t>
    </r>
    <r>
      <rPr>
        <sz val="9"/>
        <rFont val="Arial"/>
        <charset val="134"/>
      </rPr>
      <t xml:space="preserve">
-   Criterios de medición contable
(Texto).
-   Composición del rubro
Ver Anexo I - Activos y pasivos en moneda extranjera, y Anexo II - Activos y pasivos por vencimiento.</t>
    </r>
  </si>
  <si>
    <t>(Párrs. 265 a
268)</t>
  </si>
  <si>
    <t>Deudores por venta de bienes de uso, de propiedades de inversión, etc.</t>
  </si>
  <si>
    <t>Derechos de reembolso</t>
  </si>
  <si>
    <t>Previsión para desvalorización de otras cuentas por cobrar en moneda (Anexo VI)</t>
  </si>
  <si>
    <r>
      <rPr>
        <b/>
        <sz val="9"/>
        <rFont val="Arial"/>
        <charset val="134"/>
      </rPr>
      <t>2.8. Otras cuentas por cobrar en especie</t>
    </r>
    <r>
      <rPr>
        <sz val="9"/>
        <rFont val="Arial"/>
        <charset val="134"/>
      </rPr>
      <t xml:space="preserve">
-   Criterios de medición contable
-   Composición del rubro
Ver Anexo II - Activos y pasivos por vencimiento y Anexo VI - Previsiones</t>
    </r>
  </si>
  <si>
    <t>Seguros pagados por adelantado</t>
  </si>
  <si>
    <t>Alquileres pagados por adelantado</t>
  </si>
  <si>
    <t>Anticipos para la compra de artículos para consumo interno</t>
  </si>
  <si>
    <t>Otros créditos en especie</t>
  </si>
  <si>
    <t>Previsión para desvalorización de otras cuentas por cobrar en especie(Anexo VI)</t>
  </si>
  <si>
    <r>
      <rPr>
        <b/>
        <sz val="9"/>
        <rFont val="Arial"/>
        <charset val="134"/>
      </rPr>
      <t>2.9. Bienes de cambio</t>
    </r>
    <r>
      <rPr>
        <sz val="9"/>
        <rFont val="Arial"/>
        <charset val="134"/>
      </rPr>
      <t xml:space="preserve">
-   Criterios de medición contable
-   Composición del Rubro</t>
    </r>
  </si>
  <si>
    <t xml:space="preserve">(párr. 310)				</t>
  </si>
  <si>
    <t>Mercaderías</t>
  </si>
  <si>
    <t>Productos terminados</t>
  </si>
  <si>
    <t>Producción en proceso</t>
  </si>
  <si>
    <t>Materias primas y materiales</t>
  </si>
  <si>
    <t>Mercaderías en tránsito</t>
  </si>
  <si>
    <t>Anticipos para la compra de bienes de cambio</t>
  </si>
  <si>
    <t>Previsión para desvalorización de bienes de cambio (Anexo VI)</t>
  </si>
  <si>
    <t>Total (Anexo VI)</t>
  </si>
  <si>
    <r>
      <rPr>
        <b/>
        <sz val="9"/>
        <rFont val="Arial"/>
        <charset val="134"/>
      </rPr>
      <t>2.10. Bienes de uso</t>
    </r>
    <r>
      <rPr>
        <sz val="9"/>
        <rFont val="Arial"/>
        <charset val="134"/>
      </rPr>
      <t xml:space="preserve">
-   Criterios de medición contable
-   Bases y métodos utilizados para la determinación de las depreciaciones
-   Información relativa a la utilización del modelo de revaluación
i.  Aplicación del modelo
[Informar: (a) fecha de la revaluación; (b) si la revaluación se realizó con personal propio, o a partir de los servicios de un tasador independiente]
ii.  Detalle de los métodos e hipótesis significativas utilizadas para estimar el importe revaluado
iii.  Clasificación de las bases utilizadas para determinar el importe revaluado
iv.  Importes que se habrían informado, si se hubieran medidos aplicando el método del costo, neto de depreciaciones y deterioro de valor, en su caso
v.  Destino del saldo de revaluación									
vi.  Otra información sobre la aplicación del modelo de revaluación
[Informar: (a) proporción de vida útil consumida correspondiente a dichos activos y el importe que la entidad podría haber transferido a resultados no asignados a la fecha de los estados contables, cuando opte por no transferir el saldo por revaluación a los resultados no asignados en función al consumo o a la baja de los activos revaluados; (b) fecha de aprobación por organismos de control, cuando es requerida por regulaciones administrativas o legales].
-   Composición del rubro				
Se presenta en el Anexo III - Bienes de uso.</t>
    </r>
  </si>
  <si>
    <t>(párrs. 352 a
357)</t>
  </si>
  <si>
    <r>
      <rPr>
        <b/>
        <sz val="9"/>
        <rFont val="Arial"/>
        <charset val="134"/>
      </rPr>
      <t>2.11.Propiedades de inversión</t>
    </r>
    <r>
      <rPr>
        <sz val="9"/>
        <rFont val="Arial"/>
        <charset val="134"/>
      </rPr>
      <t xml:space="preserve">
-   Criterios de medición contable
-   Bases y métodos utilizados para la determinación de las depreciaciones
-   Información relativa a la utilización del modelo de valor razonable
i.  Detalle de los métodos e hipótesis significativas utilizadas
ii.  Clasificación de las bases utilizadas para determinar el valor razonable									
iii. Uso de los servicios de un tasador independiente
-   Composición del rubro"									
Se presenta en el Anexo IV – Propiedades de inversión</t>
    </r>
  </si>
  <si>
    <t>(párrs. 382 a
387)</t>
  </si>
  <si>
    <r>
      <rPr>
        <b/>
        <sz val="9"/>
        <rFont val="Arial"/>
        <charset val="134"/>
      </rPr>
      <t>2.12.Otras inversiones</t>
    </r>
    <r>
      <rPr>
        <sz val="9"/>
        <rFont val="Arial"/>
        <charset val="134"/>
      </rPr>
      <t xml:space="preserve">
-   Criterios de medición contable
-   Composición del rubro</t>
    </r>
  </si>
  <si>
    <t>Obras de arte</t>
  </si>
  <si>
    <t>Oro</t>
  </si>
  <si>
    <t>Otras</t>
  </si>
  <si>
    <t>Previsión para desvalorización de otras inversiones (Anexo VI)</t>
  </si>
  <si>
    <r>
      <rPr>
        <b/>
        <sz val="9"/>
        <rFont val="Arial"/>
        <charset val="134"/>
      </rPr>
      <t>2.13.Activos intangibles</t>
    </r>
    <r>
      <rPr>
        <sz val="9"/>
        <rFont val="Arial"/>
        <charset val="134"/>
      </rPr>
      <t xml:space="preserve">
-   Criterios de medición contable
-   Bases y métodos utilizados para la determinación de las amortizaciones
-   Composición del rubro
Se presenta en el Anexo V – Activos intangibles</t>
    </r>
  </si>
  <si>
    <r>
      <rPr>
        <b/>
        <sz val="9"/>
        <rFont val="Arial"/>
        <charset val="134"/>
      </rPr>
      <t>2.14.Otros activos</t>
    </r>
    <r>
      <rPr>
        <sz val="9"/>
        <rFont val="Arial"/>
        <charset val="134"/>
      </rPr>
      <t xml:space="preserve">
-   Criterios de medición contable
-   Composición del Rubro</t>
    </r>
  </si>
  <si>
    <t>(párrs. 430 a
433)</t>
  </si>
  <si>
    <t>Bienes para consumo interno</t>
  </si>
  <si>
    <t>Bienes de uso desafectados</t>
  </si>
  <si>
    <t>Otros activos no corrientes destinados a
la venta</t>
  </si>
  <si>
    <t>Previsión para desvalorización de otros
activos (Anexo VI)</t>
  </si>
  <si>
    <r>
      <rPr>
        <b/>
        <sz val="9"/>
        <rFont val="Arial"/>
        <charset val="134"/>
      </rPr>
      <t>2.15.Deudas con proveedores de bienes y servicios</t>
    </r>
    <r>
      <rPr>
        <sz val="9"/>
        <rFont val="Arial"/>
        <charset val="134"/>
      </rPr>
      <t xml:space="preserve">
-   Criterios de medición contable
-   Composición del rubro</t>
    </r>
  </si>
  <si>
    <t>(párrs. 473 a
475)</t>
  </si>
  <si>
    <t>Proveedores</t>
  </si>
  <si>
    <t>Cheques de pago diferido Otras</t>
  </si>
  <si>
    <t>Ver Anexo I - Activos y pasivos en moneda extranjera, y Anexo II - Activos y pasivos por vencimiento.</t>
  </si>
  <si>
    <r>
      <rPr>
        <b/>
        <sz val="9"/>
        <rFont val="Arial"/>
        <charset val="134"/>
      </rPr>
      <t>2.16.Préstamos y otros pasivos financieros</t>
    </r>
    <r>
      <rPr>
        <sz val="9"/>
        <rFont val="Arial"/>
        <charset val="134"/>
      </rPr>
      <t xml:space="preserve">
-   Criterios de medición contable
-   Composición del rubro</t>
    </r>
  </si>
  <si>
    <t>Adelantos en cuenta corriente</t>
  </si>
  <si>
    <t>Préstamos generales</t>
  </si>
  <si>
    <t>Préstamos por prefinanciación de
exportaciones</t>
  </si>
  <si>
    <t>Deudas por contratos de arrendamiento</t>
  </si>
  <si>
    <t>Ver Anexo I - Activos y pasivos en moneda extranjera, y Anexo II - Activos y pasivos por vencimiento</t>
  </si>
  <si>
    <r>
      <rPr>
        <b/>
        <sz val="9"/>
        <rFont val="Arial"/>
        <charset val="134"/>
      </rPr>
      <t>2.17.Deudas fiscales</t>
    </r>
    <r>
      <rPr>
        <sz val="9"/>
        <rFont val="Arial"/>
        <charset val="134"/>
      </rPr>
      <t xml:space="preserve">
-   Criterios de medición contable
-   Composición del Rubro</t>
    </r>
  </si>
  <si>
    <t>Impuesto al valor agregado a pagar</t>
  </si>
  <si>
    <t>Impuesto a las ganancias determinado</t>
  </si>
  <si>
    <t>Menos:  Retenciones  y  anticipos  del impuesto a las ganancias</t>
  </si>
  <si>
    <t>Impuesto sobre los Ingresos brutos</t>
  </si>
  <si>
    <t>Menos: Retenciones y percepciones del impuesto sobre los ingresos brutos</t>
  </si>
  <si>
    <t>Moratorias a pagar</t>
  </si>
  <si>
    <t>Ver Anexo II - Activos y pasivos por vencimiento.</t>
  </si>
  <si>
    <r>
      <rPr>
        <b/>
        <sz val="9"/>
        <rFont val="Arial"/>
        <charset val="134"/>
      </rPr>
      <t>2.18.Deudas laborales y previsionales</t>
    </r>
    <r>
      <rPr>
        <sz val="9"/>
        <rFont val="Arial"/>
        <charset val="134"/>
      </rPr>
      <t xml:space="preserve">
-   Criterios de medición contable
-   Composición del rubro</t>
    </r>
  </si>
  <si>
    <t>Remuneraciones a pagar</t>
  </si>
  <si>
    <t>Cargas sociales a pagar</t>
  </si>
  <si>
    <t>Indemnizaciones a pagar</t>
  </si>
  <si>
    <r>
      <rPr>
        <b/>
        <sz val="9"/>
        <rFont val="Arial"/>
        <charset val="134"/>
      </rPr>
      <t>2.19.Deudas en especie</t>
    </r>
    <r>
      <rPr>
        <sz val="9"/>
        <rFont val="Arial"/>
        <charset val="134"/>
      </rPr>
      <t xml:space="preserve">
-   Criterios de medición contable
-   Composición del rubro</t>
    </r>
  </si>
  <si>
    <t>(p. 484 y
485) y (473 a
475)</t>
  </si>
  <si>
    <t>Anticipos recibidos de clientes</t>
  </si>
  <si>
    <r>
      <rPr>
        <b/>
        <sz val="9"/>
        <rFont val="Arial"/>
        <charset val="134"/>
      </rPr>
      <t>2.20.Deudas con partes relacionadas</t>
    </r>
    <r>
      <rPr>
        <sz val="9"/>
        <rFont val="Arial"/>
        <charset val="134"/>
      </rPr>
      <t xml:space="preserve">
-   Criterios de medición contable
-   Composición del rubro</t>
    </r>
  </si>
  <si>
    <t>Ver Anexo I - Activos y pasivos en moneda extranjera, Anexo II - Activos y pasivos por vencimiento, y Anexo IX– Transacciones y saldos de partes relacionadas.</t>
  </si>
  <si>
    <r>
      <rPr>
        <b/>
        <sz val="9"/>
        <rFont val="Arial"/>
        <charset val="134"/>
      </rPr>
      <t>2.21.Otras deudas</t>
    </r>
    <r>
      <rPr>
        <sz val="9"/>
        <rFont val="Arial"/>
        <charset val="134"/>
      </rPr>
      <t xml:space="preserve">
-   Criterios de medición contable
-   Composición del rubro
Ver Anexo II - Activos y pasivos por vencimiento</t>
    </r>
  </si>
  <si>
    <t>Honorarios directores y síndicos a pagar</t>
  </si>
  <si>
    <r>
      <rPr>
        <b/>
        <sz val="9"/>
        <rFont val="Arial"/>
        <charset val="134"/>
      </rPr>
      <t>2.22.Subsidios y otras ayudas gubernamentales</t>
    </r>
    <r>
      <rPr>
        <sz val="9"/>
        <rFont val="Arial"/>
        <charset val="134"/>
      </rPr>
      <t xml:space="preserve">
-   Criterios de medición contable
-   Composición del rubro
Ver Anexo II - Activos y pasivos por vencimiento</t>
    </r>
  </si>
  <si>
    <r>
      <rPr>
        <b/>
        <sz val="9"/>
        <rFont val="Arial"/>
        <charset val="134"/>
      </rPr>
      <t>2.23.Previsiones y otros pasivos contingentes</t>
    </r>
    <r>
      <rPr>
        <sz val="9"/>
        <rFont val="Arial"/>
        <charset val="134"/>
      </rPr>
      <t xml:space="preserve">
a) Previsiones
-   Descripción de la naturaleza
-   Criterios de medición contable
-   Existencia de eventuales reembolsos de la obligación a cancelar y el importe de cualquier activo reconocido por dichos reembolsos
-   Incertidumbres relativas a importes y a los momentos de su cancelación
-   Otra información sobre previsiones</t>
    </r>
  </si>
  <si>
    <t>(párrs. 495 a
500)</t>
  </si>
  <si>
    <t>b) Otros pasivos contingentes (no reconocidos contablemente)</t>
  </si>
  <si>
    <t>Naturaleza</t>
  </si>
  <si>
    <t>Efecto patrimonial</t>
  </si>
  <si>
    <t>Incertidumbre en importe y
momentos</t>
  </si>
  <si>
    <t>Motivos que impiden su
reconocimiento</t>
  </si>
  <si>
    <t>Posibilidad de reembolso</t>
  </si>
  <si>
    <r>
      <rPr>
        <b/>
        <sz val="9"/>
        <rFont val="Arial"/>
        <charset val="134"/>
      </rPr>
      <t>2.24.Arrendamientos</t>
    </r>
    <r>
      <rPr>
        <sz val="9"/>
        <rFont val="Arial"/>
        <charset val="134"/>
      </rPr>
      <t xml:space="preserve">
-   Contratos de Arrendamientos (arrendador y arrendatario). Desagregación por plazo de vencimiento de las cuotas mínimas</t>
    </r>
  </si>
  <si>
    <t>Plazo</t>
  </si>
  <si>
    <t>Total de las cuotas mínimas</t>
  </si>
  <si>
    <t>Valor actual de las cuotas mínimas</t>
  </si>
  <si>
    <t>Hasta un año</t>
  </si>
  <si>
    <t>A más de un año y hasta cinco años</t>
  </si>
  <si>
    <t>A más de cinco años</t>
  </si>
  <si>
    <t>Imputación  a  resultados  del  ejercicio  en  concepto  de  cuotas contingentes</t>
  </si>
  <si>
    <t>Información a presentar por arrendatarios financieros – Conciliación</t>
  </si>
  <si>
    <t>Total, cuotas mínimas</t>
  </si>
  <si>
    <t>Valor actual</t>
  </si>
  <si>
    <t>Diferencias</t>
  </si>
  <si>
    <t>(Explicación de las diferencias)</t>
  </si>
  <si>
    <t>Información a presentar por arrendatarios financieros</t>
  </si>
  <si>
    <t>A)  Conciliación</t>
  </si>
  <si>
    <t>Activos por arrendamiento financiero</t>
  </si>
  <si>
    <t>Causas de las diferencias</t>
  </si>
  <si>
    <t>B)  Ingresos financieros no devengados</t>
  </si>
  <si>
    <t>C)  Valores residuales no garantizados</t>
  </si>
  <si>
    <t>D)  Previsión  para  desvalorización  de cuotas mínimas</t>
  </si>
  <si>
    <t xml:space="preserve">Otra información sobre arrendamientos financieros, por parte de arrendadores
Otra información sobre arrendamientos financieros, por parte de arrendadores
Información sobre arrendamientos operativos
</t>
  </si>
  <si>
    <t>Totales imputados al resultado del ejercicio</t>
  </si>
  <si>
    <t>Cuotas mínimas</t>
  </si>
  <si>
    <t>Cuotas por subarrendamientos</t>
  </si>
  <si>
    <t>2.25.Bienes de disponibilidad restringida</t>
  </si>
  <si>
    <t>Activo</t>
  </si>
  <si>
    <t>Importe</t>
  </si>
  <si>
    <t>Causas</t>
  </si>
  <si>
    <t>2.26.Gravámenes sobre Activos</t>
  </si>
  <si>
    <t>Bienes gravados</t>
  </si>
  <si>
    <t>Rubro del activo</t>
  </si>
  <si>
    <t>Importe en libros</t>
  </si>
  <si>
    <t>Deuda garantizada</t>
  </si>
  <si>
    <t>Rubro del pasivo</t>
  </si>
  <si>
    <t>Naturaleza del gravamen</t>
  </si>
  <si>
    <t>3. Notas al Estado de Resultados</t>
  </si>
  <si>
    <r>
      <rPr>
        <b/>
        <sz val="9"/>
        <rFont val="Arial"/>
        <charset val="134"/>
      </rPr>
      <t>3.1. Ingresos netos por ventas de bienes y prestación de servicios</t>
    </r>
    <r>
      <rPr>
        <sz val="9"/>
        <rFont val="Arial"/>
        <charset val="134"/>
      </rPr>
      <t xml:space="preserve">
-   Composición del rubro</t>
    </r>
  </si>
  <si>
    <t>Ventas de bienes y prestación de servicios</t>
  </si>
  <si>
    <t>Reintegros</t>
  </si>
  <si>
    <t>Desgravaciones</t>
  </si>
  <si>
    <t>3.2. Subsidios y otras ayudas gubernamentales, reconocidos en resultados</t>
  </si>
  <si>
    <r>
      <rPr>
        <b/>
        <sz val="9"/>
        <rFont val="Arial"/>
        <charset val="134"/>
      </rPr>
      <t>3.3. Costo de los bienes vendidos y servicios prestados</t>
    </r>
    <r>
      <rPr>
        <sz val="9"/>
        <rFont val="Arial"/>
        <charset val="134"/>
      </rPr>
      <t xml:space="preserve">
-   Método utilizado para calcular del costo de los bienes vendidos y servicios prestados
Ver Anexo VII - Costo de los bienes vendidos y servicios prestados.</t>
    </r>
  </si>
  <si>
    <t>(párr. 311)</t>
  </si>
  <si>
    <t>Costo de los bienes vendidos y servicios prestados</t>
  </si>
  <si>
    <r>
      <rPr>
        <b/>
        <sz val="9"/>
        <rFont val="Arial"/>
        <charset val="134"/>
      </rPr>
      <t>3.4. Otros ingresos y egresos</t>
    </r>
    <r>
      <rPr>
        <sz val="9"/>
        <rFont val="Arial"/>
        <charset val="134"/>
      </rPr>
      <t xml:space="preserve">
-   Composición del rubro</t>
    </r>
  </si>
  <si>
    <t>Otros ingresos</t>
  </si>
  <si>
    <t>Total, Otros ingresos</t>
  </si>
  <si>
    <t>Otros egresos</t>
  </si>
  <si>
    <t>Total, Otros egresos</t>
  </si>
  <si>
    <t>3.5. Otros resultados financieros y por tenencia (incluyendo el resultado por cambios en el poder adquisitivo de la moneda – “RECPAM”)</t>
  </si>
  <si>
    <t>(P 632 a
634)</t>
  </si>
  <si>
    <t>Generados por activos</t>
  </si>
  <si>
    <t>Intereses</t>
  </si>
  <si>
    <t>Diferen- cias de cambio</t>
  </si>
  <si>
    <t>RECPAM</t>
  </si>
  <si>
    <t>Total actual</t>
  </si>
  <si>
    <t>Total comparativo</t>
  </si>
  <si>
    <t>Caja y bancos</t>
  </si>
  <si>
    <t>Inversiones financieras</t>
  </si>
  <si>
    <t>Cuentas por cobrar</t>
  </si>
  <si>
    <t>Total, ejercicio actual</t>
  </si>
  <si>
    <t>Total, ejercicio comparativo</t>
  </si>
  <si>
    <t>Generados por pasivos</t>
  </si>
  <si>
    <t>Diferen- cias de
cambio</t>
  </si>
  <si>
    <t>Préstamos y otros pasivos financieros</t>
  </si>
  <si>
    <t>Deudas laborales y previsionales</t>
  </si>
  <si>
    <r>
      <rPr>
        <b/>
        <sz val="9"/>
        <rFont val="Arial"/>
        <charset val="134"/>
      </rPr>
      <t>3.6. Pérdidas por desvalorización y reversión de pérdidas por desvalorización</t>
    </r>
    <r>
      <rPr>
        <sz val="9"/>
        <rFont val="Arial"/>
        <charset val="134"/>
      </rPr>
      <t xml:space="preserve">
-   Pérdidas por desvalorización (o reversión de pérdidas por desvalorización) de activos individuales
-   Pérdidas por desvalorización (o reversión de pérdidas por desvalorización) de actividades / unidades generadoras de efectivo
-   Estimación del valor recuperable</t>
    </r>
  </si>
  <si>
    <t>(párrs. 174 a
175)</t>
  </si>
  <si>
    <t>Pérdidas por desvalorización</t>
  </si>
  <si>
    <t>Reversión de pérdidas por
desvalorización</t>
  </si>
  <si>
    <t>Total ejercicio actual</t>
  </si>
  <si>
    <t>Total ejercicio comparativo</t>
  </si>
  <si>
    <t>-   Otra Información</t>
  </si>
  <si>
    <r>
      <rPr>
        <b/>
        <sz val="9"/>
        <rFont val="Arial"/>
        <charset val="134"/>
      </rPr>
      <t>3.7. Información sobre operaciones discontinuadas (o en discontinuación)</t>
    </r>
    <r>
      <rPr>
        <sz val="9"/>
        <rFont val="Arial"/>
        <charset val="134"/>
      </rPr>
      <t xml:space="preserve">
-   Descripción de las operaciones discontinuadas (o en discontinuación)
-   Segmento de actividad o geográfico al que pertenecen las operaciones discontinuadas (o en discontinuación)
-   Hechos y fechas por los cuales se considera que la operación ha sido discontinuada</t>
    </r>
  </si>
  <si>
    <t>Importe registrado de los activos que se ha resuelto disponer</t>
  </si>
  <si>
    <t>Importe registrado de los pasivos que se ha resuelto cancelar</t>
  </si>
  <si>
    <t>Activos cuya venta se ha comprometido:
-  Importe registrado
-  Precio o rango de precios menos gastos de venta
-  Fecha esperada del flujo de fondos</t>
  </si>
  <si>
    <t>Flujo neto de efectivo generado por (utilizado en) actividades operativas por las operaciones discontinuadas o en discontinuación</t>
  </si>
  <si>
    <t>Flujo neto de efectivo generado por (utilizado en) actividades de inversión por las operaciones discontinuadas o en discontinuación</t>
  </si>
  <si>
    <t>Flujo neto de efectivo generado por (utilizado en) actividades de financiación por las operaciones discontinuadas o en discontinuación</t>
  </si>
  <si>
    <t>-   Razones de cambios en estimaciones y momentos de flujos respecto de los informados en ejercicios anteriores
-   Hechos que motivaron el abandono de un plan de discontinuación de operaciones presentado en ejercicios anteriores y sus efectos</t>
  </si>
  <si>
    <t>4. Notas al Estado de Evolución del Patrimonio Neto</t>
  </si>
  <si>
    <t>-   Monto y composición del capital
-   Cantidad, características y otra información a revelar de las distintas clases de acciones en circulación y en cartera
-   Naturaleza y destino de cada reserva
-   Restricciones a la distribución de ganancias</t>
  </si>
  <si>
    <t>(párrs. 685 a
688)
(párr. 693)</t>
  </si>
  <si>
    <t>5.	Notas al Estado de Flujos de Efectivo</t>
  </si>
  <si>
    <t>-   Conciliación entre las partidas correspondientes del Estado de Situación Patrimonial y el efectivo y sus equivalentes</t>
  </si>
  <si>
    <t>(párr. 672)</t>
  </si>
  <si>
    <t>Partidas del Estado de Situación Patrimonial:</t>
  </si>
  <si>
    <t>Menos: Inversiones financieras que no califican como efectivo y sus equivalentes</t>
  </si>
  <si>
    <t>Efectivo y sus equivalentes</t>
  </si>
  <si>
    <t>-   Resultados financieros y por tenencia generados por el efectivo y sus equivalentes</t>
  </si>
  <si>
    <t>Diferencias de cambio</t>
  </si>
  <si>
    <t>-   Transacciones de inversión y financiación significativas que no generaron flujos de efectivo en el ejercicio actual</t>
  </si>
  <si>
    <t>Compra de bienes de uso asumiendo pasivos</t>
  </si>
  <si>
    <t>Compra de bienes de uso celebrando contratos de arrendamiento</t>
  </si>
  <si>
    <t>Conversión de deuda en patrimonio neto</t>
  </si>
  <si>
    <t>Aportes en especie</t>
  </si>
  <si>
    <t>6. Información sobre partes relacionadas</t>
  </si>
  <si>
    <t>(párrs. 699 a
708)</t>
  </si>
  <si>
    <t>-  Identificación de las prtes relacionadas por control</t>
  </si>
  <si>
    <t>Nombre de la Controladora</t>
  </si>
  <si>
    <t>CUIT</t>
  </si>
  <si>
    <t>Ver Anexo IX - Transacciones y saldos de partes relacionadas.</t>
  </si>
  <si>
    <t>7. Información sobre el impuesto a las ganancias</t>
  </si>
  <si>
    <t>-  Activo (Pasivo) neto por impuesto diferido
[La entidad expondrá en el Estado de Situación Patrimonial un Activo neto por impuesto diferido o un Pasivo neto por impuesto diferido, según cual fuere su posición neta, deudora o acreedora.]
i.  Criterios de medición contable
ii.  Composición del rubro</t>
  </si>
  <si>
    <t>(párr. 599)</t>
  </si>
  <si>
    <t>Diferencias temporarias:</t>
  </si>
  <si>
    <t>Total, Activo (Pasivo) neto por impuesto diferido</t>
  </si>
  <si>
    <t xml:space="preserve">-  Impuesto a las ganancias del ejercicio"					
</t>
  </si>
  <si>
    <t>i.  Conciliación entre el gasto o ingreso imputado a resultados y el impuesto teórico (que surge de multiplicar el resultado contable por la tasa fiscal vigente)</t>
  </si>
  <si>
    <t>Impuesto a las ganancias en el Estado de Resultados</t>
  </si>
  <si>
    <t>Impuesto a las ganancias teórico</t>
  </si>
  <si>
    <t>Diferencia</t>
  </si>
  <si>
    <t>Causas de la diferencia</t>
  </si>
  <si>
    <t>Medición de bienes de uso a valor razonable</t>
  </si>
  <si>
    <t>Ingresos exentos</t>
  </si>
  <si>
    <t>Gastos no deducibles</t>
  </si>
  <si>
    <t>Desvalorización de activos por impuesto diferido</t>
  </si>
  <si>
    <t>Recupero de desvalorizaciones de activos por impuesto diferido</t>
  </si>
  <si>
    <t>Efecto por cambios en las tasas impositivas sobre saldos de activos y pasivos por impuesto diferido</t>
  </si>
  <si>
    <t>Quebrantos impositivos no reconocidos como activo por impuesto
diferido en ejercicios anteriores</t>
  </si>
  <si>
    <t>Créditos fiscales no reconocidos como activo por impuesto diferido en ejercicios anteriores</t>
  </si>
  <si>
    <t>Diferencia en el reconocimiento del efecto de los cambios en el
poder adquisitivo de la moneda para fines contables y para fines tributarios</t>
  </si>
  <si>
    <t>Total, causas de la diferencia</t>
  </si>
  <si>
    <t>ii.  Conciliación entre el gasto o ingreso por impuesto a las ganancias imputado a resultados y el impuesto determinado a los fines fiscales</t>
  </si>
  <si>
    <t>Impuesto a las ganancias determinado aplicando criterios fiscales</t>
  </si>
  <si>
    <t>Medición de bienes de uso a valor razonable
Efecto por cambios en las tasas impositivas sobre saldos de activos y pasivos por impuesto diferido</t>
  </si>
  <si>
    <t>Quebrantos impositivos no reconocidos como activo por impuesto diferido en ejercicios anteriores</t>
  </si>
  <si>
    <t>Créditos fiscales no reconocidos como activo por impuesto diferido
en ejercicios anteriores</t>
  </si>
  <si>
    <t>- Cambios producidos en el ejercicio en las tasas del impuesto
-  Activos por impuesto diferido no reconocidos</t>
  </si>
  <si>
    <t>Concepto</t>
  </si>
  <si>
    <t>-  Pasivos por impuesto diferido no reconocidos</t>
  </si>
  <si>
    <t>-  Saldos de activos y pasivos por impuesto diferido</t>
  </si>
  <si>
    <t>Diferencias temporarias generadas por activos:</t>
  </si>
  <si>
    <t>Diferencias temporarias generadas por pasivos:</t>
  </si>
  <si>
    <t>Quebrantos impositivos no utilizados</t>
  </si>
  <si>
    <t>Créditos fiscales no utilizados</t>
  </si>
  <si>
    <t>Diferencia que afectó el Estado de Resultados</t>
  </si>
  <si>
    <t>Año en que se estima se producirá la
reversión</t>
  </si>
  <si>
    <t>Activos diferidos</t>
  </si>
  <si>
    <t>Pasivos diferidos</t>
  </si>
  <si>
    <t>Valor nominal</t>
  </si>
  <si>
    <t>Valor descontado</t>
  </si>
  <si>
    <t>Tasa de interés</t>
  </si>
  <si>
    <t>Año 1</t>
  </si>
  <si>
    <t>Año 2</t>
  </si>
  <si>
    <t>Año 3</t>
  </si>
  <si>
    <t>Año 4</t>
  </si>
  <si>
    <t>Año 5</t>
  </si>
  <si>
    <t>Año 6</t>
  </si>
  <si>
    <t>Año 7</t>
  </si>
  <si>
    <t>Año 8</t>
  </si>
  <si>
    <t>Año 9</t>
  </si>
  <si>
    <t>Año 10</t>
  </si>
  <si>
    <t>Más de 10
años</t>
  </si>
  <si>
    <t>ANEXO I</t>
  </si>
  <si>
    <t>ACTIVOS Y PASIVOS EN MONEDA EXTRANJERA</t>
  </si>
  <si>
    <t>Detalle</t>
  </si>
  <si>
    <t>Clase de Moneda Extranjera</t>
  </si>
  <si>
    <t>Monto en Moneda Extranjera</t>
  </si>
  <si>
    <t>Tipo de Cambio Aplicable</t>
  </si>
  <si>
    <t>Monto en Moneda Local</t>
  </si>
  <si>
    <t>ACTIVOS</t>
  </si>
  <si>
    <t>Activos Corrientes</t>
  </si>
  <si>
    <t xml:space="preserve">Efectivo </t>
  </si>
  <si>
    <t>Depósitos en Cuentas Bancarias</t>
  </si>
  <si>
    <t>Depósitos a Plazo Fijo</t>
  </si>
  <si>
    <t>Deudores por Ventas</t>
  </si>
  <si>
    <t>Otras Cuentas por cobrar en moneda</t>
  </si>
  <si>
    <t>Total de Activos Corrientes</t>
  </si>
  <si>
    <t>Activos No Corrientes</t>
  </si>
  <si>
    <t>Total de Activos No Corrientes</t>
  </si>
  <si>
    <t>Total de Activos</t>
  </si>
  <si>
    <t>Pasivos Corrientes</t>
  </si>
  <si>
    <t>Deudas con Proveedores de bienes y servicios</t>
  </si>
  <si>
    <t>Cheques de Pago Diferido</t>
  </si>
  <si>
    <t>Préstamos por prefinanciación de exportaciones</t>
  </si>
  <si>
    <t>Total de pasivos Corrientes</t>
  </si>
  <si>
    <t>Pasivos No Corrientes</t>
  </si>
  <si>
    <t>Total de Pasivos No Corrientes</t>
  </si>
  <si>
    <t>Total de Pasivos</t>
  </si>
  <si>
    <t>ANEXO II</t>
  </si>
  <si>
    <r>
      <rPr>
        <b/>
        <sz val="11"/>
        <rFont val="Arial"/>
        <charset val="134"/>
      </rPr>
      <t>ACTIVOS Y PASIVOS POR VENCIMIENTO</t>
    </r>
    <r>
      <rPr>
        <b/>
        <sz val="11"/>
        <color rgb="FFFF0000"/>
        <rFont val="Arial"/>
        <charset val="134"/>
      </rPr>
      <t>*</t>
    </r>
  </si>
  <si>
    <t>al …/…/… Cifras Expresasdas en …</t>
  </si>
  <si>
    <t>Ejercicio Actual</t>
  </si>
  <si>
    <t>Activos</t>
  </si>
  <si>
    <t>Pasivos</t>
  </si>
  <si>
    <t>Cuentas por Cobrar</t>
  </si>
  <si>
    <t>Deudas</t>
  </si>
  <si>
    <t>Monto</t>
  </si>
  <si>
    <t>Monto Garantizado</t>
  </si>
  <si>
    <t>Tipo de Tasa</t>
  </si>
  <si>
    <t>Tasa Promedio Ponderada</t>
  </si>
  <si>
    <t>A Vencer</t>
  </si>
  <si>
    <t>Hasta tres meses</t>
  </si>
  <si>
    <t>De tres a seis meses</t>
  </si>
  <si>
    <t>De seis a nueve meses</t>
  </si>
  <si>
    <t>De nueve a doce meses</t>
  </si>
  <si>
    <t>En el segundo año</t>
  </si>
  <si>
    <t>En el tercer año</t>
  </si>
  <si>
    <t>En el cuarto año</t>
  </si>
  <si>
    <t>En el quinto año</t>
  </si>
  <si>
    <t>En el sexto año</t>
  </si>
  <si>
    <t>En el séptimo año</t>
  </si>
  <si>
    <t>En el octavo año</t>
  </si>
  <si>
    <t>En el noveno año</t>
  </si>
  <si>
    <t>En el décimo año</t>
  </si>
  <si>
    <t>A más de diez años</t>
  </si>
  <si>
    <t>Total a Vencer</t>
  </si>
  <si>
    <t>Sin plazos establecidos</t>
  </si>
  <si>
    <t>Con plazos vencidos</t>
  </si>
  <si>
    <t>* Una entidad pequeña o mediana podrá no revelar esta información</t>
  </si>
  <si>
    <r>
      <rPr>
        <b/>
        <sz val="11"/>
        <rFont val="Arial"/>
        <charset val="134"/>
      </rPr>
      <t>ACTIVOS Y PASIVOS POR VENCIMIENTO</t>
    </r>
    <r>
      <rPr>
        <b/>
        <sz val="11"/>
        <color rgb="FFFF0000"/>
        <rFont val="Arial"/>
        <charset val="134"/>
      </rPr>
      <t xml:space="preserve">* </t>
    </r>
    <r>
      <rPr>
        <b/>
        <sz val="11"/>
        <rFont val="Arial"/>
        <charset val="134"/>
      </rPr>
      <t>( continuación)</t>
    </r>
  </si>
  <si>
    <t>al …/…/...  Cifras expresadas en …</t>
  </si>
  <si>
    <t>Ejercicio Comparativo</t>
  </si>
  <si>
    <t>ANEXO III</t>
  </si>
  <si>
    <t>BIENES DE USO</t>
  </si>
  <si>
    <t>Por el ejercicio anual finalizado el …/…/... - Comparativo con el ejercicio anterior</t>
  </si>
  <si>
    <t>VALORES  DE  INCORPORACION</t>
  </si>
  <si>
    <t xml:space="preserve">    DEPRECIACION</t>
  </si>
  <si>
    <t>Pérdidas (Reversión de pérdidas) por desvalorización</t>
  </si>
  <si>
    <t>VALOR RESIDUAL</t>
  </si>
  <si>
    <t>R  U  B  R  O  S</t>
  </si>
  <si>
    <t>Al  Inicio del Ejercicio</t>
  </si>
  <si>
    <t>Altas del Ejercicio</t>
  </si>
  <si>
    <t>Bajas del Ejercicio</t>
  </si>
  <si>
    <t>Transferencias</t>
  </si>
  <si>
    <t>Revalúo</t>
  </si>
  <si>
    <t>Al  cierre del Ejercicio</t>
  </si>
  <si>
    <t>Acumulado al Inicio</t>
  </si>
  <si>
    <t>DEL  EJERCICIO</t>
  </si>
  <si>
    <t>Acumulado al cierre</t>
  </si>
  <si>
    <t>TERRENOS</t>
  </si>
  <si>
    <t>EDIFICIOS</t>
  </si>
  <si>
    <t>INSTALACIONES</t>
  </si>
  <si>
    <t>MUEBLES Y UTILES</t>
  </si>
  <si>
    <t>MAQUINAS Y EQUIPOS</t>
  </si>
  <si>
    <t>EQUIPOS DE COMPUTACION</t>
  </si>
  <si>
    <t>RODADOS</t>
  </si>
  <si>
    <t>OBRAS EN CONSTRUCCION</t>
  </si>
  <si>
    <t>ANTICIPOS PARA LA COMPRA DE BIENES DE USO</t>
  </si>
  <si>
    <t>INMUEBLES EN ARRENDAMIENTO FINANCIERO</t>
  </si>
  <si>
    <t>OTROS BIENES EN ARRENDAMIENTO FINANCIERO</t>
  </si>
  <si>
    <t>……</t>
  </si>
  <si>
    <t>Totales ejercicio actual</t>
  </si>
  <si>
    <t>Totales ejercicio comparativo</t>
  </si>
  <si>
    <t>ANEXO IV</t>
  </si>
  <si>
    <r>
      <rPr>
        <b/>
        <sz val="11"/>
        <rFont val="Arial Bold"/>
        <charset val="134"/>
      </rPr>
      <t>PROPIEDADES DE INVERSIÓN</t>
    </r>
    <r>
      <rPr>
        <b/>
        <sz val="11"/>
        <color rgb="FFFF0000"/>
        <rFont val="Arial Bold"/>
        <charset val="134"/>
      </rPr>
      <t xml:space="preserve"> (cuando la entidad aplique el modelo de valor razonable)</t>
    </r>
  </si>
  <si>
    <t>Saldos Iniciales</t>
  </si>
  <si>
    <t>Altas</t>
  </si>
  <si>
    <t>Bajas</t>
  </si>
  <si>
    <t>Diferencias de medición</t>
  </si>
  <si>
    <t>Otros ajustes</t>
  </si>
  <si>
    <t>SALDOS FINALES</t>
  </si>
  <si>
    <t>OBRAS EN CURSO</t>
  </si>
  <si>
    <t>OTRAS PROPIEDADES DE INVERSIÓN</t>
  </si>
  <si>
    <t>ANTICIPOS PARA LA COMPRA DE PROPIEDADES DE INVERSION</t>
  </si>
  <si>
    <t>…..</t>
  </si>
  <si>
    <t>Totales ejercicio anterior</t>
  </si>
  <si>
    <r>
      <rPr>
        <b/>
        <sz val="11"/>
        <rFont val="Arial Bold"/>
        <charset val="134"/>
      </rPr>
      <t xml:space="preserve">PROPIEDADES DE INVERSIÓN </t>
    </r>
    <r>
      <rPr>
        <b/>
        <sz val="11"/>
        <color rgb="FFFF0000"/>
        <rFont val="Arial Bold"/>
        <charset val="134"/>
      </rPr>
      <t>(cuando la entidad aplique el modelo de costo)</t>
    </r>
  </si>
  <si>
    <t>Por el ejercicio anual finalizado el …/…/…. - Comparativo con el ejercicio anterior</t>
  </si>
  <si>
    <t>VALORES RAZONABLES</t>
  </si>
  <si>
    <t>Depreciación del ejercicio</t>
  </si>
  <si>
    <t>ANTICIPOS PARA LA COMPRA DE PROPIEDADES DE INVERSIÓN</t>
  </si>
  <si>
    <t>ANEXO V</t>
  </si>
  <si>
    <t>ACTIVOS INTANGIBLES</t>
  </si>
  <si>
    <t>Acumulado 
al Inicio</t>
  </si>
  <si>
    <t>Acumulado 
al cierre</t>
  </si>
  <si>
    <t>MARCAS</t>
  </si>
  <si>
    <t>DERECHO DE PROPIEDAD INTELECTUAL</t>
  </si>
  <si>
    <t>LICENCIAS</t>
  </si>
  <si>
    <t>GASTOS DE DESAROLLO</t>
  </si>
  <si>
    <t>ANTICIPOS PARA LA COMPRA DE ACTIVOS INTANGIBLES</t>
  </si>
  <si>
    <t>…</t>
  </si>
  <si>
    <t>ANEXO VI</t>
  </si>
  <si>
    <t>PREVISIONES</t>
  </si>
  <si>
    <t>DEDUCIDAS EN EL ACTIVO</t>
  </si>
  <si>
    <t>INCLUIDAS EN EL PASIVO</t>
  </si>
  <si>
    <t>Denominación de las Partidas</t>
  </si>
  <si>
    <t>Saldo 
al Inicio del ejercicio actual</t>
  </si>
  <si>
    <t>Aumento Ejercicio</t>
  </si>
  <si>
    <t>Disminuc. Ejercicio</t>
  </si>
  <si>
    <t>Saldos 
al Cierre del ejercicio actual</t>
  </si>
  <si>
    <t>Saldos 
al Cierre del ejercicio comparativo</t>
  </si>
  <si>
    <t>Saldo 
al Inicio</t>
  </si>
  <si>
    <t>Corrientes</t>
  </si>
  <si>
    <t>Previsión para desvalorización de inversiones financieras</t>
  </si>
  <si>
    <t>Previsiones para juicios</t>
  </si>
  <si>
    <t>Previsión para desvalorización de cuentas por cobrar a asociados o aportantes en moneda</t>
  </si>
  <si>
    <t>Previsiones para garantías</t>
  </si>
  <si>
    <t>Previsión para desvalorización de cuentas por cobrar a asociados o aportantes en especie</t>
  </si>
  <si>
    <t>Otras previsiones</t>
  </si>
  <si>
    <t>Previsión para desvalorización de créditos impositivos</t>
  </si>
  <si>
    <t>Previsión para desvalorización de otras cuentas por cobrar en moneda</t>
  </si>
  <si>
    <t>Previsión para desvalorización de otras cuentas por cobrar en especie</t>
  </si>
  <si>
    <t>Previsión para desvalorización de bienes de cambio</t>
  </si>
  <si>
    <t>Subtotal Corrientes</t>
  </si>
  <si>
    <t>No Corrientes</t>
  </si>
  <si>
    <t>Previsión para desvalorización de bienes de uso</t>
  </si>
  <si>
    <t>Previsión para desvalorización activos intangibles</t>
  </si>
  <si>
    <t>Subtotal No Corrientes</t>
  </si>
  <si>
    <t>ANEXO VII</t>
  </si>
  <si>
    <t>COSTO DE BIENES VENDIDOS Y SERVICIOS PRESTADOS</t>
  </si>
  <si>
    <t>Existencia inicial de BC</t>
  </si>
  <si>
    <t>(Nota 2.10)</t>
  </si>
  <si>
    <t>Productos Terminados</t>
  </si>
  <si>
    <t>Producción en Proceso</t>
  </si>
  <si>
    <t>Materias Primas y Materiales</t>
  </si>
  <si>
    <t>TOTAL EXISTENCIA INICIAL (Ver nota bienes de cambio)</t>
  </si>
  <si>
    <t>Más:</t>
  </si>
  <si>
    <t>Compras</t>
  </si>
  <si>
    <t>Costos de Producción</t>
  </si>
  <si>
    <t>(Anexo VII)</t>
  </si>
  <si>
    <r>
      <rPr>
        <sz val="11"/>
        <rFont val="Arial"/>
        <charset val="134"/>
      </rPr>
      <t>Costos Financieros Activados</t>
    </r>
    <r>
      <rPr>
        <sz val="11"/>
        <color rgb="FFFF0000"/>
        <rFont val="Arial"/>
        <charset val="134"/>
      </rPr>
      <t xml:space="preserve"> *</t>
    </r>
  </si>
  <si>
    <r>
      <rPr>
        <sz val="11"/>
        <rFont val="Arial"/>
        <charset val="134"/>
      </rPr>
      <t xml:space="preserve">Resultado por tenencia de Bienes de Cambio </t>
    </r>
    <r>
      <rPr>
        <sz val="11"/>
        <color rgb="FFFF0000"/>
        <rFont val="Arial"/>
        <charset val="134"/>
      </rPr>
      <t>**</t>
    </r>
  </si>
  <si>
    <t xml:space="preserve">Menos: </t>
  </si>
  <si>
    <t>Existencia Final (ver nota bienes de cambio)</t>
  </si>
  <si>
    <t>TOTAL EXISTENCIA FINAL</t>
  </si>
  <si>
    <t>COSTO DE LOS BIENES VENDIDOS</t>
  </si>
  <si>
    <t xml:space="preserve">GASTOS POR LA PRESTACION DE SERVICIOS </t>
  </si>
  <si>
    <t>COSTO DE LOS BIENES VENDIDOS Y SERVICIOS PRESTADOS</t>
  </si>
  <si>
    <t>* De uso limitado - RT54 P.136.b</t>
  </si>
  <si>
    <t>** En caso de corresponder</t>
  </si>
  <si>
    <t>ANEXO VIII</t>
  </si>
  <si>
    <t>COSTO DE PRODUCCIÓN Y GASTOS CLASIFICADOS POR SU NATURALEZA</t>
  </si>
  <si>
    <t>CIFRAS EXPRESADAS EN ...</t>
  </si>
  <si>
    <t>Costo de Producción</t>
  </si>
  <si>
    <t>Gastos por la prestación de servicios</t>
  </si>
  <si>
    <t>Gastos de Comercialización</t>
  </si>
  <si>
    <t>Gastos de Administración</t>
  </si>
  <si>
    <t>Otros Gastos</t>
  </si>
  <si>
    <t>TOTAL</t>
  </si>
  <si>
    <t>Impuestos, tasas y contribuciones</t>
  </si>
  <si>
    <t>Honorarios de administradores, directores y sindicos</t>
  </si>
  <si>
    <t>Otros honorarios</t>
  </si>
  <si>
    <t>Comisiones</t>
  </si>
  <si>
    <t>Sueldos y Jornales</t>
  </si>
  <si>
    <t>Cargas sociales</t>
  </si>
  <si>
    <t>Papelería y útiles</t>
  </si>
  <si>
    <t>Energia electrica, agua, gas y otros</t>
  </si>
  <si>
    <t>Publicidad y propafanda</t>
  </si>
  <si>
    <t>Servicios bancarios</t>
  </si>
  <si>
    <t>Reparacion y mantenimiento</t>
  </si>
  <si>
    <t>Amortizacion activos intangibles</t>
  </si>
  <si>
    <t>Depreciacion bienes de uso</t>
  </si>
  <si>
    <t>Alquileres</t>
  </si>
  <si>
    <t>Seguros</t>
  </si>
  <si>
    <t>Pérdidas por improductividades fisicas</t>
  </si>
  <si>
    <t>TOTAL EJERCICIO ACTUAL</t>
  </si>
  <si>
    <t>TOTAL EJERCICIO COMPARATIVO</t>
  </si>
  <si>
    <t>ANEXO IX</t>
  </si>
  <si>
    <t>TRANSACCIONES Y SALDOS DE PARTES RELACIONADAS</t>
  </si>
  <si>
    <t>Cifras expresadas en ...</t>
  </si>
  <si>
    <t>Transacciones</t>
  </si>
  <si>
    <r>
      <rPr>
        <b/>
        <sz val="10"/>
        <rFont val="Arial"/>
        <charset val="134"/>
      </rPr>
      <t>Transacciones realizadas con partes relacionadas</t>
    </r>
    <r>
      <rPr>
        <b/>
        <sz val="10"/>
        <color rgb="FFC00000"/>
        <rFont val="Arial"/>
        <charset val="134"/>
      </rPr>
      <t>*</t>
    </r>
  </si>
  <si>
    <r>
      <rPr>
        <b/>
        <sz val="10"/>
        <rFont val="Arial"/>
        <charset val="134"/>
      </rPr>
      <t xml:space="preserve">Parte relacionada </t>
    </r>
    <r>
      <rPr>
        <b/>
        <sz val="10"/>
        <color rgb="FFC00000"/>
        <rFont val="Arial"/>
        <charset val="134"/>
      </rPr>
      <t>**</t>
    </r>
  </si>
  <si>
    <t>Transacción Tipo 1</t>
  </si>
  <si>
    <t>Transacción Tipo 2</t>
  </si>
  <si>
    <t>Transacción Tipo 3</t>
  </si>
  <si>
    <t>Transacción Tipo 4</t>
  </si>
  <si>
    <t>Transacción Tipo 5</t>
  </si>
  <si>
    <t>... ... Transacción Tipo N</t>
  </si>
  <si>
    <t>Parte relacionada 1</t>
  </si>
  <si>
    <t>Parte relacionada 2</t>
  </si>
  <si>
    <t>Parte relacionada 3</t>
  </si>
  <si>
    <t>... Parte relacionada N</t>
  </si>
  <si>
    <t>*En el párrafo 699 de la RT54se establecen los requerimientos sobre las transacciones con partes relacionadas que deben informarse</t>
  </si>
  <si>
    <t>** En el párrafo 700 de la RT54 se establecen los requerimientos para identificar las partes relacionadas que deben informarse</t>
  </si>
  <si>
    <t>Saldos</t>
  </si>
  <si>
    <t>Crédito (Deuda) al cierre del ejercicio actual</t>
  </si>
  <si>
    <t>Crédito (Deuda) al cierre del ejercicio comparativo</t>
  </si>
  <si>
    <r>
      <rPr>
        <b/>
        <sz val="10"/>
        <rFont val="Arial"/>
        <charset val="134"/>
      </rPr>
      <t xml:space="preserve">Parte Relacionada </t>
    </r>
    <r>
      <rPr>
        <b/>
        <sz val="10"/>
        <color rgb="FFC00000"/>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</si>
</sst>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_);_(* \(#,##0\);_(* &quot;-&quot;??_);_(@_)"/>
    <numFmt numFmtId="179" formatCode="d\-m\-yyyy;@"/>
    <numFmt numFmtId="180" formatCode="&quot;$&quot;\ #,##0"/>
  </numFmts>
  <fonts count="60">
    <font>
      <sz val="10"/>
      <name val="Arial"/>
      <charset val="134"/>
    </font>
    <font>
      <sz val="12"/>
      <name val="Arial"/>
      <charset val="134"/>
    </font>
    <font>
      <b/>
      <sz val="11"/>
      <color rgb="FFFF0000"/>
      <name val="Arial"/>
      <charset val="134"/>
    </font>
    <font>
      <b/>
      <sz val="11"/>
      <name val="Arial"/>
      <charset val="134"/>
    </font>
    <font>
      <b/>
      <sz val="10"/>
      <name val="Arial"/>
      <charset val="134"/>
    </font>
    <font>
      <sz val="10"/>
      <name val="Arial"/>
      <charset val="134"/>
    </font>
    <font>
      <sz val="10"/>
      <color rgb="FFFF0000"/>
      <name val="Arial"/>
      <charset val="134"/>
    </font>
    <font>
      <sz val="8"/>
      <name val="Arial"/>
      <charset val="134"/>
    </font>
    <font>
      <b/>
      <sz val="10"/>
      <color rgb="FFFF0000"/>
      <name val="Arial"/>
      <charset val="134"/>
    </font>
    <font>
      <sz val="10"/>
      <color rgb="FFC00000"/>
      <name val="Arial"/>
      <charset val="134"/>
    </font>
    <font>
      <b/>
      <sz val="12"/>
      <name val="Arial"/>
      <charset val="134"/>
    </font>
    <font>
      <sz val="11"/>
      <color theme="1"/>
      <name val="Calibri"/>
      <charset val="134"/>
      <scheme val="minor"/>
    </font>
    <font>
      <sz val="9"/>
      <name val="Arial"/>
      <charset val="134"/>
    </font>
    <font>
      <b/>
      <sz val="9"/>
      <name val="Arial"/>
      <charset val="134"/>
    </font>
    <font>
      <sz val="11"/>
      <name val="Arial"/>
      <charset val="134"/>
    </font>
    <font>
      <sz val="11"/>
      <name val="Calibri"/>
      <charset val="134"/>
      <scheme val="minor"/>
    </font>
    <font>
      <b/>
      <sz val="12"/>
      <color rgb="FFFF0000"/>
      <name val="Arial Bold"/>
      <charset val="134"/>
    </font>
    <font>
      <b/>
      <sz val="10"/>
      <name val="Arial Bold"/>
      <charset val="134"/>
    </font>
    <font>
      <b/>
      <sz val="11"/>
      <name val="Arial Bold"/>
      <charset val="134"/>
    </font>
    <font>
      <sz val="9"/>
      <name val="Arial"/>
      <charset val="134"/>
    </font>
    <font>
      <b/>
      <sz val="9"/>
      <name val="Arial"/>
      <charset val="134"/>
    </font>
    <font>
      <b/>
      <u/>
      <sz val="10"/>
      <color theme="9" tint="-0.499984740745262"/>
      <name val="Arial"/>
      <charset val="134"/>
    </font>
    <font>
      <u/>
      <sz val="9"/>
      <color rgb="FF000000"/>
      <name val="Arial"/>
      <charset val="134"/>
    </font>
    <font>
      <u/>
      <sz val="9"/>
      <color rgb="FF000000"/>
      <name val="Arial"/>
      <charset val="134"/>
    </font>
    <font>
      <sz val="9"/>
      <color rgb="FF000000"/>
      <name val="Arial"/>
      <charset val="134"/>
    </font>
    <font>
      <b/>
      <sz val="9"/>
      <color rgb="FF000000"/>
      <name val="Arial"/>
      <charset val="134"/>
    </font>
    <font>
      <b/>
      <sz val="9"/>
      <color rgb="FF000000"/>
      <name val="Arial"/>
      <charset val="134"/>
    </font>
    <font>
      <sz val="9"/>
      <color rgb="FF242424"/>
      <name val="Arial"/>
      <charset val="134"/>
    </font>
    <font>
      <sz val="9"/>
      <color rgb="FF000000"/>
      <name val="Arial"/>
      <charset val="134"/>
    </font>
    <font>
      <b/>
      <i/>
      <sz val="9"/>
      <color rgb="FF000000"/>
      <name val="Arial"/>
      <charset val="134"/>
    </font>
    <font>
      <b/>
      <sz val="8"/>
      <name val="Arial"/>
      <charset val="134"/>
    </font>
    <font>
      <i/>
      <u/>
      <sz val="10"/>
      <name val="Arial"/>
      <charset val="134"/>
    </font>
    <font>
      <b/>
      <i/>
      <sz val="10"/>
      <name val="Arial"/>
      <charset val="134"/>
    </font>
    <font>
      <sz val="11"/>
      <color rgb="FFFF0000"/>
      <name val="Arial"/>
      <charset val="134"/>
    </font>
    <font>
      <sz val="12"/>
      <color rgb="FFFF0000"/>
      <name val="Arial"/>
      <charset val="134"/>
    </font>
    <font>
      <b/>
      <i/>
      <sz val="11"/>
      <name val="Arial"/>
      <charset val="134"/>
    </font>
    <font>
      <b/>
      <u/>
      <sz val="11"/>
      <name val="Arial"/>
      <charset val="134"/>
    </font>
    <font>
      <sz val="11"/>
      <color theme="1"/>
      <name val="Calibri"/>
      <charset val="134"/>
      <scheme val="minor"/>
    </font>
    <font>
      <u/>
      <sz val="10"/>
      <color theme="10"/>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Bold"/>
      <charset val="134"/>
    </font>
    <font>
      <b/>
      <u/>
      <sz val="10"/>
      <color rgb="FF0000EE"/>
      <name val="Arial"/>
      <charset val="134"/>
    </font>
    <font>
      <b/>
      <sz val="10"/>
      <color rgb="FFC00000"/>
      <name val="Arial"/>
      <charset val="134"/>
    </font>
  </fonts>
  <fills count="35">
    <fill>
      <patternFill patternType="none"/>
    </fill>
    <fill>
      <patternFill patternType="gray125"/>
    </fill>
    <fill>
      <patternFill patternType="solid">
        <fgColor theme="0"/>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auto="1"/>
      </left>
      <right style="medium">
        <color rgb="FF000000"/>
      </right>
      <top style="medium">
        <color auto="1"/>
      </top>
      <bottom style="medium">
        <color rgb="FF000000"/>
      </bottom>
      <diagonal/>
    </border>
    <border>
      <left style="medium">
        <color rgb="FF000000"/>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rgb="FF000000"/>
      </top>
      <bottom/>
      <diagonal/>
    </border>
    <border>
      <left style="medium">
        <color rgb="FF000000"/>
      </left>
      <right style="medium">
        <color auto="1"/>
      </right>
      <top style="medium">
        <color rgb="FF000000"/>
      </top>
      <bottom/>
      <diagonal/>
    </border>
    <border>
      <left style="medium">
        <color auto="1"/>
      </left>
      <right style="medium">
        <color auto="1"/>
      </right>
      <top style="medium">
        <color auto="1"/>
      </top>
      <bottom style="thin">
        <color auto="1"/>
      </bottom>
      <diagonal/>
    </border>
    <border>
      <left style="medium">
        <color auto="1"/>
      </left>
      <right style="medium">
        <color rgb="FF000000"/>
      </right>
      <top style="medium">
        <color auto="1"/>
      </top>
      <bottom style="medium">
        <color auto="1"/>
      </bottom>
      <diagonal/>
    </border>
    <border>
      <left style="medium">
        <color rgb="FF000000"/>
      </left>
      <right style="medium">
        <color rgb="FF000000"/>
      </right>
      <top style="medium">
        <color auto="1"/>
      </top>
      <bottom style="medium">
        <color auto="1"/>
      </bottom>
      <diagonal/>
    </border>
    <border>
      <left style="medium">
        <color rgb="FF000000"/>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bottom/>
      <diagonal/>
    </border>
    <border>
      <left style="medium">
        <color auto="1"/>
      </left>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medium">
        <color rgb="FF000000"/>
      </top>
      <bottom style="medium">
        <color auto="1"/>
      </bottom>
      <diagonal/>
    </border>
    <border>
      <left style="thin">
        <color auto="1"/>
      </left>
      <right style="thin">
        <color auto="1"/>
      </right>
      <top style="medium">
        <color rgb="FF000000"/>
      </top>
      <bottom style="medium">
        <color auto="1"/>
      </bottom>
      <diagonal/>
    </border>
    <border>
      <left style="thin">
        <color auto="1"/>
      </left>
      <right/>
      <top style="medium">
        <color rgb="FF000000"/>
      </top>
      <bottom style="medium">
        <color auto="1"/>
      </bottom>
      <diagonal/>
    </border>
    <border>
      <left style="thin">
        <color auto="1"/>
      </left>
      <right style="thin">
        <color auto="1"/>
      </right>
      <top style="thin">
        <color auto="1"/>
      </top>
      <bottom style="medium">
        <color rgb="FF000000"/>
      </bottom>
      <diagonal/>
    </border>
    <border>
      <left style="thin">
        <color auto="1"/>
      </left>
      <right/>
      <top style="thin">
        <color auto="1"/>
      </top>
      <bottom style="medium">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rgb="FF000000"/>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bottom/>
      <diagonal/>
    </border>
    <border>
      <left style="thin">
        <color auto="1"/>
      </left>
      <right style="medium">
        <color rgb="FF000000"/>
      </right>
      <top/>
      <bottom/>
      <diagonal/>
    </border>
    <border>
      <left style="medium">
        <color rgb="FF000000"/>
      </left>
      <right/>
      <top style="thin">
        <color auto="1"/>
      </top>
      <bottom style="thin">
        <color auto="1"/>
      </bottom>
      <diagonal/>
    </border>
    <border>
      <left style="thin">
        <color auto="1"/>
      </left>
      <right/>
      <top style="thin">
        <color auto="1"/>
      </top>
      <bottom style="thin">
        <color auto="1"/>
      </bottom>
      <diagonal/>
    </border>
    <border>
      <left/>
      <right style="medium">
        <color rgb="FF000000"/>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top style="thin">
        <color auto="1"/>
      </top>
      <bottom style="medium">
        <color rgb="FF000000"/>
      </bottom>
      <diagonal/>
    </border>
    <border>
      <left/>
      <right style="medium">
        <color rgb="FF000000"/>
      </right>
      <top style="thin">
        <color auto="1"/>
      </top>
      <bottom/>
      <diagonal/>
    </border>
    <border>
      <left style="medium">
        <color rgb="FF000000"/>
      </left>
      <right/>
      <top style="thin">
        <color auto="1"/>
      </top>
      <bottom/>
      <diagonal/>
    </border>
    <border>
      <left style="thin">
        <color auto="1"/>
      </left>
      <right style="medium">
        <color rgb="FF000000"/>
      </right>
      <top style="thin">
        <color auto="1"/>
      </top>
      <bottom style="medium">
        <color rgb="FF000000"/>
      </bottom>
      <diagonal/>
    </border>
    <border>
      <left style="thin">
        <color auto="1"/>
      </left>
      <right/>
      <top/>
      <bottom style="medium">
        <color rgb="FF000000"/>
      </bottom>
      <diagonal/>
    </border>
    <border>
      <left style="thin">
        <color auto="1"/>
      </left>
      <right style="medium">
        <color rgb="FF000000"/>
      </right>
      <top/>
      <bottom style="medium">
        <color rgb="FF000000"/>
      </bottom>
      <diagonal/>
    </border>
    <border>
      <left style="medium">
        <color rgb="FF000000"/>
      </left>
      <right style="medium">
        <color auto="1"/>
      </right>
      <top/>
      <bottom/>
      <diagonal/>
    </border>
    <border>
      <left style="thin">
        <color auto="1"/>
      </left>
      <right/>
      <top/>
      <bottom style="medium">
        <color auto="1"/>
      </bottom>
      <diagonal/>
    </border>
    <border>
      <left style="medium">
        <color auto="1"/>
      </left>
      <right/>
      <top/>
      <bottom style="medium">
        <color auto="1"/>
      </bottom>
      <diagonal/>
    </border>
    <border>
      <left/>
      <right style="medium">
        <color rgb="FF000000"/>
      </right>
      <top style="medium">
        <color auto="1"/>
      </top>
      <bottom/>
      <diagonal/>
    </border>
    <border>
      <left style="medium">
        <color rgb="FF000000"/>
      </left>
      <right style="medium">
        <color rgb="FF000000"/>
      </right>
      <top style="medium">
        <color auto="1"/>
      </top>
      <bottom/>
      <diagonal/>
    </border>
    <border>
      <left style="medium">
        <color rgb="FF000000"/>
      </left>
      <right/>
      <top style="medium">
        <color auto="1"/>
      </top>
      <bottom/>
      <diagonal/>
    </border>
    <border>
      <left style="medium">
        <color rgb="FF000000"/>
      </left>
      <right style="medium">
        <color rgb="FF000000"/>
      </right>
      <top/>
      <bottom style="medium">
        <color auto="1"/>
      </bottom>
      <diagonal/>
    </border>
    <border>
      <left style="medium">
        <color rgb="FF000000"/>
      </left>
      <right/>
      <top style="medium">
        <color rgb="FF000000"/>
      </top>
      <bottom style="medium">
        <color rgb="FF000000"/>
      </bottom>
      <diagonal/>
    </border>
    <border>
      <left style="medium">
        <color auto="1"/>
      </left>
      <right/>
      <top style="medium">
        <color rgb="FF000000"/>
      </top>
      <bottom style="medium">
        <color rgb="FF000000"/>
      </bottom>
      <diagonal/>
    </border>
    <border>
      <left style="medium">
        <color auto="1"/>
      </left>
      <right style="medium">
        <color rgb="FF000000"/>
      </right>
      <top style="medium">
        <color rgb="FF000000"/>
      </top>
      <bottom style="medium">
        <color rgb="FF000000"/>
      </bottom>
      <diagonal/>
    </border>
    <border>
      <left style="medium">
        <color auto="1"/>
      </left>
      <right/>
      <top/>
      <bottom style="medium">
        <color rgb="FF000000"/>
      </bottom>
      <diagonal/>
    </border>
    <border>
      <left/>
      <right/>
      <top/>
      <bottom style="medium">
        <color auto="1"/>
      </bottom>
      <diagonal/>
    </border>
    <border>
      <left style="medium">
        <color auto="1"/>
      </left>
      <right style="medium">
        <color auto="1"/>
      </right>
      <top/>
      <bottom style="medium">
        <color rgb="FF000000"/>
      </bottom>
      <diagonal/>
    </border>
    <border>
      <left/>
      <right/>
      <top style="medium">
        <color rgb="FF000000"/>
      </top>
      <bottom style="medium">
        <color rgb="FF000000"/>
      </bottom>
      <diagonal/>
    </border>
    <border>
      <left style="medium">
        <color auto="1"/>
      </left>
      <right style="medium">
        <color rgb="FF000000"/>
      </right>
      <top/>
      <bottom/>
      <diagonal/>
    </border>
    <border>
      <left style="medium">
        <color auto="1"/>
      </left>
      <right style="medium">
        <color auto="1"/>
      </right>
      <top style="medium">
        <color rgb="FF000000"/>
      </top>
      <bottom style="medium">
        <color rgb="FF000000"/>
      </bottom>
      <diagonal/>
    </border>
    <border>
      <left style="medium">
        <color auto="1"/>
      </left>
      <right style="medium">
        <color rgb="FF000000"/>
      </right>
      <top/>
      <bottom style="medium">
        <color rgb="FF000000"/>
      </bottom>
      <diagonal/>
    </border>
    <border>
      <left style="medium">
        <color auto="1"/>
      </left>
      <right style="medium">
        <color auto="1"/>
      </right>
      <top style="medium">
        <color rgb="FF000000"/>
      </top>
      <bottom/>
      <diagonal/>
    </border>
    <border>
      <left style="medium">
        <color auto="1"/>
      </left>
      <right style="medium">
        <color rgb="FF000000"/>
      </right>
      <top style="medium">
        <color rgb="FF000000"/>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auto="1"/>
      </left>
      <right/>
      <top/>
      <bottom style="thin">
        <color rgb="FF000000"/>
      </bottom>
      <diagonal/>
    </border>
    <border>
      <left style="medium">
        <color rgb="FF000000"/>
      </left>
      <right/>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rgb="FF000000"/>
      </right>
      <top style="medium">
        <color auto="1"/>
      </top>
      <bottom style="medium">
        <color auto="1"/>
      </bottom>
      <diagonal/>
    </border>
    <border>
      <left style="medium">
        <color auto="1"/>
      </left>
      <right style="medium">
        <color rgb="FF000000"/>
      </right>
      <top style="medium">
        <color auto="1"/>
      </top>
      <bottom/>
      <diagonal/>
    </border>
    <border>
      <left style="medium">
        <color auto="1"/>
      </left>
      <right style="medium">
        <color rgb="FF000000"/>
      </right>
      <top style="thin">
        <color auto="1"/>
      </top>
      <bottom/>
      <diagonal/>
    </border>
    <border>
      <left style="medium">
        <color auto="1"/>
      </left>
      <right style="medium">
        <color rgb="FF000000"/>
      </right>
      <top/>
      <bottom style="medium">
        <color auto="1"/>
      </bottom>
      <diagonal/>
    </border>
    <border>
      <left style="medium">
        <color rgb="FF000000"/>
      </left>
      <right style="medium">
        <color auto="1"/>
      </right>
      <top style="medium">
        <color auto="1"/>
      </top>
      <bottom style="medium">
        <color rgb="FF000000"/>
      </bottom>
      <diagonal/>
    </border>
    <border>
      <left style="medium">
        <color auto="1"/>
      </left>
      <right/>
      <top style="medium">
        <color auto="1"/>
      </top>
      <bottom style="medium">
        <color rgb="FF000000"/>
      </bottom>
      <diagonal/>
    </border>
    <border>
      <left style="medium">
        <color auto="1"/>
      </left>
      <right style="medium">
        <color auto="1"/>
      </right>
      <top style="medium">
        <color auto="1"/>
      </top>
      <bottom style="medium">
        <color rgb="FF000000"/>
      </bottom>
      <diagonal/>
    </border>
    <border>
      <left style="medium">
        <color rgb="FF000000"/>
      </left>
      <right style="medium">
        <color rgb="FF000000"/>
      </right>
      <top/>
      <bottom style="thin">
        <color auto="1"/>
      </bottom>
      <diagonal/>
    </border>
    <border>
      <left/>
      <right style="medium">
        <color rgb="FF000000"/>
      </right>
      <top/>
      <bottom style="thin">
        <color auto="1"/>
      </bottom>
      <diagonal/>
    </border>
    <border>
      <left style="medium">
        <color rgb="FF000000"/>
      </left>
      <right style="medium">
        <color rgb="FF000000"/>
      </right>
      <top style="thin">
        <color auto="1"/>
      </top>
      <bottom/>
      <diagonal/>
    </border>
    <border>
      <left/>
      <right style="medium">
        <color rgb="FF000000"/>
      </right>
      <top/>
      <bottom style="medium">
        <color auto="1"/>
      </bottom>
      <diagonal/>
    </border>
    <border>
      <left style="medium">
        <color rgb="FF000000"/>
      </left>
      <right/>
      <top style="medium">
        <color auto="1"/>
      </top>
      <bottom style="medium">
        <color auto="1"/>
      </bottom>
      <diagonal/>
    </border>
    <border>
      <left/>
      <right style="medium">
        <color rgb="FF000000"/>
      </right>
      <top style="medium">
        <color auto="1"/>
      </top>
      <bottom style="medium">
        <color auto="1"/>
      </bottom>
      <diagonal/>
    </border>
    <border>
      <left style="medium">
        <color rgb="FF000000"/>
      </left>
      <right style="medium">
        <color rgb="FF000000"/>
      </right>
      <top style="medium">
        <color auto="1"/>
      </top>
      <bottom style="medium">
        <color rgb="FF000000"/>
      </bottom>
      <diagonal/>
    </border>
    <border>
      <left/>
      <right style="medium">
        <color rgb="FF000000"/>
      </right>
      <top style="medium">
        <color auto="1"/>
      </top>
      <bottom style="medium">
        <color rgb="FF000000"/>
      </bottom>
      <diagonal/>
    </border>
    <border>
      <left style="medium">
        <color rgb="FF000000"/>
      </left>
      <right/>
      <top style="medium">
        <color rgb="FF000000"/>
      </top>
      <bottom style="medium">
        <color auto="1"/>
      </bottom>
      <diagonal/>
    </border>
    <border>
      <left style="medium">
        <color rgb="FF000000"/>
      </left>
      <right style="medium">
        <color rgb="FF000000"/>
      </right>
      <top style="medium">
        <color rgb="FF000000"/>
      </top>
      <bottom style="medium">
        <color auto="1"/>
      </bottom>
      <diagonal/>
    </border>
    <border>
      <left style="medium">
        <color rgb="FF000000"/>
      </left>
      <right/>
      <top/>
      <bottom style="medium">
        <color auto="1"/>
      </bottom>
      <diagonal/>
    </border>
    <border>
      <left style="medium">
        <color auto="1"/>
      </left>
      <right/>
      <top style="thin">
        <color rgb="FF000000"/>
      </top>
      <bottom/>
      <diagonal/>
    </border>
    <border>
      <left/>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000000"/>
      </left>
      <right style="thin">
        <color auto="1"/>
      </right>
      <top/>
      <bottom/>
      <diagonal/>
    </border>
    <border>
      <left/>
      <right style="thin">
        <color rgb="FF000000"/>
      </right>
      <top/>
      <bottom/>
      <diagonal/>
    </border>
    <border>
      <left style="thin">
        <color auto="1"/>
      </left>
      <right style="thin">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auto="1"/>
      </left>
      <right/>
      <top style="thin">
        <color auto="1"/>
      </top>
      <bottom/>
      <diagonal/>
    </border>
    <border>
      <left/>
      <right/>
      <top style="thin">
        <color auto="1"/>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5" fillId="0" borderId="0" applyFont="0" applyFill="0" applyBorder="0" applyAlignment="0" applyProtection="0"/>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176"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xf numFmtId="0" fontId="39" fillId="0" borderId="0" applyNumberFormat="0" applyFill="0" applyBorder="0" applyAlignment="0" applyProtection="0">
      <alignment vertical="center"/>
    </xf>
    <xf numFmtId="0" fontId="37" fillId="4" borderId="144"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45" applyNumberFormat="0" applyFill="0" applyAlignment="0" applyProtection="0">
      <alignment vertical="center"/>
    </xf>
    <xf numFmtId="0" fontId="44" fillId="0" borderId="145" applyNumberFormat="0" applyFill="0" applyAlignment="0" applyProtection="0">
      <alignment vertical="center"/>
    </xf>
    <xf numFmtId="0" fontId="45" fillId="0" borderId="146" applyNumberFormat="0" applyFill="0" applyAlignment="0" applyProtection="0">
      <alignment vertical="center"/>
    </xf>
    <xf numFmtId="0" fontId="45" fillId="0" borderId="0" applyNumberFormat="0" applyFill="0" applyBorder="0" applyAlignment="0" applyProtection="0">
      <alignment vertical="center"/>
    </xf>
    <xf numFmtId="0" fontId="46" fillId="5" borderId="147" applyNumberFormat="0" applyAlignment="0" applyProtection="0">
      <alignment vertical="center"/>
    </xf>
    <xf numFmtId="0" fontId="47" fillId="6" borderId="148" applyNumberFormat="0" applyAlignment="0" applyProtection="0">
      <alignment vertical="center"/>
    </xf>
    <xf numFmtId="0" fontId="48" fillId="6" borderId="147" applyNumberFormat="0" applyAlignment="0" applyProtection="0">
      <alignment vertical="center"/>
    </xf>
    <xf numFmtId="0" fontId="49" fillId="7" borderId="149" applyNumberFormat="0" applyAlignment="0" applyProtection="0">
      <alignment vertical="center"/>
    </xf>
    <xf numFmtId="0" fontId="50" fillId="0" borderId="150" applyNumberFormat="0" applyFill="0" applyAlignment="0" applyProtection="0">
      <alignment vertical="center"/>
    </xf>
    <xf numFmtId="0" fontId="51" fillId="0" borderId="151" applyNumberFormat="0" applyFill="0" applyAlignment="0" applyProtection="0">
      <alignment vertical="center"/>
    </xf>
    <xf numFmtId="0" fontId="52" fillId="8" borderId="0" applyNumberFormat="0" applyBorder="0" applyAlignment="0" applyProtection="0">
      <alignment vertical="center"/>
    </xf>
    <xf numFmtId="0" fontId="53" fillId="9" borderId="0" applyNumberFormat="0" applyBorder="0" applyAlignment="0" applyProtection="0">
      <alignment vertical="center"/>
    </xf>
    <xf numFmtId="0" fontId="54" fillId="10" borderId="0" applyNumberFormat="0" applyBorder="0" applyAlignment="0" applyProtection="0">
      <alignment vertical="center"/>
    </xf>
    <xf numFmtId="0" fontId="55" fillId="11" borderId="0" applyNumberFormat="0" applyBorder="0" applyAlignment="0" applyProtection="0">
      <alignment vertical="center"/>
    </xf>
    <xf numFmtId="0" fontId="56" fillId="12" borderId="0" applyNumberFormat="0" applyBorder="0" applyAlignment="0" applyProtection="0">
      <alignment vertical="center"/>
    </xf>
    <xf numFmtId="0" fontId="56" fillId="13" borderId="0" applyNumberFormat="0" applyBorder="0" applyAlignment="0" applyProtection="0">
      <alignment vertical="center"/>
    </xf>
    <xf numFmtId="0" fontId="55" fillId="14" borderId="0" applyNumberFormat="0" applyBorder="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6"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6" fillId="20" borderId="0" applyNumberFormat="0" applyBorder="0" applyAlignment="0" applyProtection="0">
      <alignment vertical="center"/>
    </xf>
    <xf numFmtId="0" fontId="56" fillId="21" borderId="0" applyNumberFormat="0" applyBorder="0" applyAlignment="0" applyProtection="0">
      <alignment vertical="center"/>
    </xf>
    <xf numFmtId="0" fontId="11" fillId="22" borderId="0" applyNumberFormat="0" applyBorder="0" applyAlignment="0" applyProtection="0"/>
    <xf numFmtId="0" fontId="55" fillId="23" borderId="0" applyNumberFormat="0" applyBorder="0" applyAlignment="0" applyProtection="0">
      <alignment vertical="center"/>
    </xf>
    <xf numFmtId="0" fontId="56" fillId="24" borderId="0" applyNumberFormat="0" applyBorder="0" applyAlignment="0" applyProtection="0">
      <alignment vertical="center"/>
    </xf>
    <xf numFmtId="0" fontId="56"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56"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6" fillId="32" borderId="0" applyNumberFormat="0" applyBorder="0" applyAlignment="0" applyProtection="0">
      <alignment vertical="center"/>
    </xf>
    <xf numFmtId="0" fontId="56" fillId="33" borderId="0" applyNumberFormat="0" applyBorder="0" applyAlignment="0" applyProtection="0">
      <alignment vertical="center"/>
    </xf>
    <xf numFmtId="0" fontId="55" fillId="34" borderId="0" applyNumberFormat="0" applyBorder="0" applyAlignment="0" applyProtection="0">
      <alignment vertical="center"/>
    </xf>
    <xf numFmtId="41" fontId="5" fillId="0" borderId="0" applyFont="0" applyFill="0" applyBorder="0" applyAlignment="0" applyProtection="0"/>
    <xf numFmtId="0" fontId="5" fillId="0" borderId="0"/>
  </cellStyleXfs>
  <cellXfs count="856">
    <xf numFmtId="0" fontId="0" fillId="0" borderId="0" xfId="0"/>
    <xf numFmtId="0" fontId="1" fillId="2" borderId="0" xfId="0" applyFont="1" applyFill="1"/>
    <xf numFmtId="0" fontId="0" fillId="2" borderId="0" xfId="0" applyFill="1"/>
    <xf numFmtId="0" fontId="2" fillId="2" borderId="1" xfId="0" applyFont="1" applyFill="1" applyBorder="1" applyAlignment="1">
      <alignment horizontal="left" indent="1"/>
    </xf>
    <xf numFmtId="0" fontId="2" fillId="2" borderId="2" xfId="0" applyFont="1" applyFill="1" applyBorder="1" applyAlignment="1">
      <alignment horizontal="center" indent="1"/>
    </xf>
    <xf numFmtId="0" fontId="3" fillId="2" borderId="3" xfId="0" applyFont="1" applyFill="1" applyBorder="1" applyAlignment="1">
      <alignment horizontal="right" inden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xf numFmtId="0" fontId="4" fillId="2" borderId="9" xfId="0" applyFont="1" applyFill="1" applyBorder="1" applyAlignment="1">
      <alignment horizontal="center" wrapText="1"/>
    </xf>
    <xf numFmtId="0" fontId="4" fillId="2" borderId="8" xfId="0" applyFont="1" applyFill="1" applyBorder="1" applyAlignment="1">
      <alignment horizontal="center" wrapText="1"/>
    </xf>
    <xf numFmtId="0" fontId="4" fillId="2" borderId="10" xfId="0" applyFont="1" applyFill="1" applyBorder="1" applyAlignment="1">
      <alignment horizontal="center" wrapText="1"/>
    </xf>
    <xf numFmtId="0" fontId="5" fillId="2" borderId="9" xfId="0" applyFont="1" applyFill="1" applyBorder="1"/>
    <xf numFmtId="0" fontId="5"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2" borderId="0" xfId="0" applyFont="1" applyFill="1"/>
    <xf numFmtId="0" fontId="5" fillId="2" borderId="15" xfId="0" applyFont="1" applyFill="1" applyBorder="1"/>
    <xf numFmtId="0" fontId="5" fillId="2" borderId="10" xfId="0" applyFont="1" applyFill="1" applyBorder="1" applyAlignment="1">
      <alignment horizontal="center"/>
    </xf>
    <xf numFmtId="0" fontId="5" fillId="2" borderId="16" xfId="0" applyFont="1" applyFill="1" applyBorder="1" applyAlignment="1">
      <alignment horizontal="center"/>
    </xf>
    <xf numFmtId="0" fontId="5" fillId="2" borderId="3" xfId="0" applyFont="1" applyFill="1" applyBorder="1" applyAlignment="1">
      <alignment horizontal="center"/>
    </xf>
    <xf numFmtId="0" fontId="4" fillId="2" borderId="6" xfId="0" applyFont="1" applyFill="1" applyBorder="1"/>
    <xf numFmtId="0" fontId="5" fillId="2" borderId="6" xfId="0" applyFont="1" applyFill="1" applyBorder="1"/>
    <xf numFmtId="0" fontId="5" fillId="2" borderId="17" xfId="0" applyFont="1" applyFill="1" applyBorder="1"/>
    <xf numFmtId="0" fontId="6" fillId="2" borderId="0" xfId="0" applyFont="1" applyFill="1"/>
    <xf numFmtId="0" fontId="6" fillId="2" borderId="0" xfId="0" applyFont="1" applyFill="1" applyAlignment="1">
      <alignment horizontal="left" wrapText="1"/>
    </xf>
    <xf numFmtId="0" fontId="7" fillId="2" borderId="0" xfId="0" applyFont="1" applyFill="1"/>
    <xf numFmtId="0" fontId="6" fillId="2" borderId="0" xfId="0" applyFont="1" applyFill="1" applyAlignment="1">
      <alignment wrapText="1"/>
    </xf>
    <xf numFmtId="0" fontId="5" fillId="2" borderId="0" xfId="0" applyFont="1" applyFill="1" applyAlignment="1">
      <alignment vertical="center"/>
    </xf>
    <xf numFmtId="0" fontId="8" fillId="2" borderId="0" xfId="0" applyFont="1" applyFill="1"/>
    <xf numFmtId="0" fontId="6" fillId="2" borderId="0" xfId="0" applyFont="1" applyFill="1" applyAlignment="1">
      <alignment vertical="center"/>
    </xf>
    <xf numFmtId="0" fontId="9" fillId="2" borderId="0" xfId="0" applyFont="1" applyFill="1"/>
    <xf numFmtId="0" fontId="3" fillId="2" borderId="2" xfId="0" applyFont="1" applyFill="1" applyBorder="1" applyAlignment="1">
      <alignment horizontal="left" indent="1"/>
    </xf>
    <xf numFmtId="0" fontId="4" fillId="2" borderId="2" xfId="0" applyFont="1" applyFill="1" applyBorder="1"/>
    <xf numFmtId="0" fontId="3" fillId="2" borderId="3" xfId="0" applyFont="1" applyFill="1" applyBorder="1" applyAlignment="1">
      <alignment horizontal="left" indent="1"/>
    </xf>
    <xf numFmtId="0" fontId="3" fillId="2" borderId="4"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4" fillId="2" borderId="18" xfId="0" applyFont="1" applyFill="1" applyBorder="1"/>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21" xfId="0" applyFont="1" applyFill="1" applyBorder="1" applyAlignment="1">
      <alignment horizontal="center"/>
    </xf>
    <xf numFmtId="0" fontId="4" fillId="2" borderId="22" xfId="0" applyFont="1" applyFill="1" applyBorder="1"/>
    <xf numFmtId="0" fontId="4" fillId="2" borderId="9" xfId="0" applyFont="1" applyFill="1" applyBorder="1" applyAlignment="1">
      <alignment wrapText="1"/>
    </xf>
    <xf numFmtId="0" fontId="4" fillId="2" borderId="23" xfId="0" applyFont="1" applyFill="1" applyBorder="1" applyAlignment="1">
      <alignment wrapText="1"/>
    </xf>
    <xf numFmtId="0" fontId="5" fillId="2" borderId="24" xfId="0" applyFont="1" applyFill="1" applyBorder="1"/>
    <xf numFmtId="0" fontId="4" fillId="2" borderId="25" xfId="0" applyFont="1" applyFill="1" applyBorder="1" applyAlignment="1">
      <alignment horizontal="center" wrapText="1"/>
    </xf>
    <xf numFmtId="0" fontId="4" fillId="2" borderId="26" xfId="0" applyFont="1" applyFill="1" applyBorder="1" applyAlignment="1">
      <alignment horizontal="center" wrapText="1"/>
    </xf>
    <xf numFmtId="0" fontId="4" fillId="2" borderId="27" xfId="0" applyFont="1" applyFill="1" applyBorder="1" applyAlignment="1">
      <alignment horizontal="center" wrapText="1"/>
    </xf>
    <xf numFmtId="0" fontId="5" fillId="2" borderId="28" xfId="0" applyFont="1" applyFill="1" applyBorder="1"/>
    <xf numFmtId="0" fontId="5" fillId="2" borderId="29" xfId="0" applyFont="1" applyFill="1" applyBorder="1"/>
    <xf numFmtId="0" fontId="5" fillId="2" borderId="30" xfId="0" applyFont="1" applyFill="1" applyBorder="1"/>
    <xf numFmtId="0" fontId="5" fillId="2" borderId="31" xfId="0" applyFont="1" applyFill="1" applyBorder="1"/>
    <xf numFmtId="0" fontId="5" fillId="2" borderId="32" xfId="0" applyFont="1" applyFill="1" applyBorder="1"/>
    <xf numFmtId="0" fontId="5" fillId="2" borderId="33" xfId="0" applyFont="1" applyFill="1" applyBorder="1"/>
    <xf numFmtId="0" fontId="5" fillId="2" borderId="34" xfId="0" applyFont="1" applyFill="1" applyBorder="1"/>
    <xf numFmtId="0" fontId="5" fillId="2" borderId="35" xfId="0" applyFont="1" applyFill="1" applyBorder="1"/>
    <xf numFmtId="0" fontId="5" fillId="2" borderId="36" xfId="0" applyFont="1" applyFill="1" applyBorder="1"/>
    <xf numFmtId="0" fontId="5" fillId="2" borderId="37" xfId="0" applyFont="1" applyFill="1" applyBorder="1"/>
    <xf numFmtId="0" fontId="5" fillId="2" borderId="38" xfId="0" applyFont="1" applyFill="1" applyBorder="1"/>
    <xf numFmtId="0" fontId="4" fillId="2" borderId="39" xfId="0" applyFont="1" applyFill="1" applyBorder="1"/>
    <xf numFmtId="0" fontId="5" fillId="2" borderId="39" xfId="0" applyFont="1" applyFill="1" applyBorder="1"/>
    <xf numFmtId="0" fontId="5" fillId="2" borderId="40" xfId="0" applyFont="1" applyFill="1" applyBorder="1"/>
    <xf numFmtId="0" fontId="4" fillId="2" borderId="25" xfId="0" applyFont="1" applyFill="1" applyBorder="1" applyAlignment="1">
      <alignment horizontal="center"/>
    </xf>
    <xf numFmtId="0" fontId="4" fillId="2" borderId="26" xfId="0" applyFont="1" applyFill="1" applyBorder="1" applyAlignment="1">
      <alignment horizontal="center"/>
    </xf>
    <xf numFmtId="0" fontId="4" fillId="2" borderId="27" xfId="0" applyFont="1" applyFill="1" applyBorder="1" applyAlignment="1">
      <alignment horizontal="center"/>
    </xf>
    <xf numFmtId="0" fontId="5" fillId="2" borderId="41" xfId="0" applyFont="1" applyFill="1" applyBorder="1"/>
    <xf numFmtId="0" fontId="1" fillId="0" borderId="0" xfId="0" applyFont="1"/>
    <xf numFmtId="0" fontId="10" fillId="0" borderId="0" xfId="0" applyFont="1"/>
    <xf numFmtId="0" fontId="2" fillId="0" borderId="1" xfId="0" applyFont="1" applyBorder="1" applyAlignment="1">
      <alignment horizontal="left" indent="1"/>
    </xf>
    <xf numFmtId="0" fontId="0" fillId="0" borderId="2" xfId="0" applyBorder="1"/>
    <xf numFmtId="0" fontId="3" fillId="2" borderId="3" xfId="0" applyFont="1" applyFill="1" applyBorder="1" applyAlignment="1">
      <alignment vertic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42" xfId="0" applyFont="1" applyBorder="1" applyAlignment="1">
      <alignment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2" xfId="0" applyFont="1" applyBorder="1" applyAlignment="1">
      <alignment horizontal="center" vertical="center"/>
    </xf>
    <xf numFmtId="0" fontId="4" fillId="0" borderId="15"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5" fillId="0" borderId="43" xfId="0" applyFont="1" applyBorder="1"/>
    <xf numFmtId="0" fontId="4" fillId="0" borderId="10" xfId="0" applyFont="1" applyBorder="1" applyAlignment="1">
      <alignment horizontal="center" vertical="center" wrapText="1"/>
    </xf>
    <xf numFmtId="43" fontId="4" fillId="0" borderId="8" xfId="1" applyFont="1" applyBorder="1" applyAlignment="1">
      <alignment horizontal="center" vertical="center" wrapText="1"/>
    </xf>
    <xf numFmtId="0" fontId="5" fillId="0" borderId="42" xfId="0" applyFont="1" applyBorder="1" applyAlignment="1">
      <alignment vertical="center"/>
    </xf>
    <xf numFmtId="43" fontId="11" fillId="2" borderId="44" xfId="36" applyNumberFormat="1" applyFill="1" applyBorder="1" applyAlignment="1">
      <alignment vertical="center"/>
    </xf>
    <xf numFmtId="43" fontId="11" fillId="2" borderId="0" xfId="36" applyNumberFormat="1" applyFill="1" applyBorder="1" applyAlignment="1">
      <alignment vertical="center"/>
    </xf>
    <xf numFmtId="43" fontId="11" fillId="2" borderId="45" xfId="36" applyNumberFormat="1" applyFill="1" applyBorder="1" applyAlignment="1">
      <alignment vertical="center"/>
    </xf>
    <xf numFmtId="43" fontId="12" fillId="2" borderId="42" xfId="1" applyFont="1" applyFill="1" applyBorder="1" applyAlignment="1">
      <alignment vertical="center"/>
    </xf>
    <xf numFmtId="43" fontId="11" fillId="2" borderId="46" xfId="36" applyNumberFormat="1" applyFill="1" applyBorder="1" applyAlignment="1">
      <alignment vertical="center"/>
    </xf>
    <xf numFmtId="0" fontId="5" fillId="0" borderId="47" xfId="0" applyFont="1" applyBorder="1" applyAlignment="1">
      <alignment vertical="center"/>
    </xf>
    <xf numFmtId="43" fontId="11" fillId="2" borderId="33" xfId="36" applyNumberFormat="1" applyFill="1" applyBorder="1" applyAlignment="1">
      <alignment vertical="center"/>
    </xf>
    <xf numFmtId="43" fontId="11" fillId="2" borderId="48" xfId="36" applyNumberFormat="1" applyFill="1" applyBorder="1" applyAlignment="1">
      <alignment vertical="center"/>
    </xf>
    <xf numFmtId="43" fontId="11" fillId="2" borderId="34" xfId="36" applyNumberFormat="1" applyFill="1" applyBorder="1" applyAlignment="1">
      <alignment vertical="center"/>
    </xf>
    <xf numFmtId="43" fontId="12" fillId="2" borderId="47" xfId="1" applyFont="1" applyFill="1" applyBorder="1" applyAlignment="1">
      <alignment vertical="center"/>
    </xf>
    <xf numFmtId="43" fontId="11" fillId="2" borderId="28" xfId="36" applyNumberFormat="1" applyFill="1" applyBorder="1" applyAlignment="1">
      <alignment vertical="center"/>
    </xf>
    <xf numFmtId="43" fontId="11" fillId="2" borderId="45" xfId="36" applyNumberFormat="1" applyFill="1" applyBorder="1" applyAlignment="1">
      <alignment horizontal="center" vertical="center"/>
    </xf>
    <xf numFmtId="43" fontId="11" fillId="2" borderId="33" xfId="36" applyNumberFormat="1" applyFill="1" applyBorder="1" applyAlignment="1">
      <alignment horizontal="center"/>
    </xf>
    <xf numFmtId="43" fontId="11" fillId="2" borderId="48" xfId="36" applyNumberFormat="1" applyFill="1" applyBorder="1" applyAlignment="1">
      <alignment horizontal="center"/>
    </xf>
    <xf numFmtId="43" fontId="11" fillId="2" borderId="33" xfId="36" applyNumberFormat="1" applyFill="1" applyBorder="1" applyAlignment="1"/>
    <xf numFmtId="43" fontId="11" fillId="2" borderId="34" xfId="36" applyNumberFormat="1" applyFill="1" applyBorder="1" applyAlignment="1">
      <alignment horizontal="center"/>
    </xf>
    <xf numFmtId="43" fontId="12" fillId="2" borderId="47" xfId="1" applyFont="1" applyFill="1" applyBorder="1" applyAlignment="1"/>
    <xf numFmtId="43" fontId="11" fillId="2" borderId="28" xfId="36" applyNumberFormat="1" applyFill="1" applyBorder="1" applyAlignment="1"/>
    <xf numFmtId="43" fontId="11" fillId="2" borderId="44" xfId="36" applyNumberFormat="1" applyFill="1" applyBorder="1" applyAlignment="1"/>
    <xf numFmtId="43" fontId="11" fillId="2" borderId="0" xfId="36" applyNumberFormat="1" applyFill="1" applyBorder="1" applyAlignment="1"/>
    <xf numFmtId="43" fontId="11" fillId="2" borderId="45" xfId="36" applyNumberFormat="1" applyFill="1" applyBorder="1" applyAlignment="1"/>
    <xf numFmtId="43" fontId="12" fillId="2" borderId="42" xfId="1" applyFont="1" applyFill="1" applyBorder="1" applyAlignment="1"/>
    <xf numFmtId="43" fontId="11" fillId="2" borderId="35" xfId="36" applyNumberFormat="1" applyFill="1" applyBorder="1" applyAlignment="1"/>
    <xf numFmtId="0" fontId="4" fillId="0" borderId="17" xfId="0" applyFont="1" applyBorder="1" applyAlignment="1">
      <alignment horizontal="left" vertical="center"/>
    </xf>
    <xf numFmtId="43" fontId="13" fillId="2" borderId="49" xfId="0" applyNumberFormat="1" applyFont="1" applyFill="1" applyBorder="1" applyAlignment="1">
      <alignment vertical="center"/>
    </xf>
    <xf numFmtId="43" fontId="13" fillId="2" borderId="50" xfId="0" applyNumberFormat="1" applyFont="1" applyFill="1" applyBorder="1" applyAlignment="1">
      <alignment vertical="center"/>
    </xf>
    <xf numFmtId="43" fontId="13" fillId="2" borderId="51" xfId="0" applyNumberFormat="1" applyFont="1" applyFill="1" applyBorder="1" applyAlignment="1">
      <alignment vertical="center"/>
    </xf>
    <xf numFmtId="43" fontId="13" fillId="2" borderId="22" xfId="0" applyNumberFormat="1" applyFont="1" applyFill="1" applyBorder="1" applyAlignment="1">
      <alignment vertical="center"/>
    </xf>
    <xf numFmtId="43" fontId="13" fillId="2" borderId="17" xfId="0" applyNumberFormat="1" applyFont="1" applyFill="1" applyBorder="1" applyAlignment="1">
      <alignment vertical="center"/>
    </xf>
    <xf numFmtId="0" fontId="4" fillId="0" borderId="6" xfId="0" applyFont="1" applyBorder="1" applyAlignment="1">
      <alignment horizontal="left" vertical="center"/>
    </xf>
    <xf numFmtId="43" fontId="13" fillId="2" borderId="52" xfId="0" applyNumberFormat="1" applyFont="1" applyFill="1" applyBorder="1" applyAlignment="1">
      <alignment vertical="center"/>
    </xf>
    <xf numFmtId="43" fontId="13" fillId="2" borderId="53" xfId="0" applyNumberFormat="1" applyFont="1" applyFill="1" applyBorder="1" applyAlignment="1">
      <alignment vertical="center"/>
    </xf>
    <xf numFmtId="43" fontId="13" fillId="2" borderId="0" xfId="0" applyNumberFormat="1" applyFont="1" applyFill="1" applyAlignment="1">
      <alignment vertical="center"/>
    </xf>
    <xf numFmtId="0" fontId="5" fillId="0" borderId="0" xfId="0" applyFont="1"/>
    <xf numFmtId="0" fontId="7" fillId="0" borderId="0" xfId="0" applyFont="1"/>
    <xf numFmtId="0" fontId="0" fillId="0" borderId="0" xfId="0" applyAlignment="1">
      <alignment horizontal="left" indent="1"/>
    </xf>
    <xf numFmtId="0" fontId="5" fillId="0" borderId="0" xfId="0" applyFont="1" applyAlignment="1">
      <alignment vertical="center"/>
    </xf>
    <xf numFmtId="0" fontId="8" fillId="0" borderId="0" xfId="0" applyFont="1"/>
    <xf numFmtId="0" fontId="6" fillId="0" borderId="0" xfId="0" applyFont="1"/>
    <xf numFmtId="0" fontId="6" fillId="0" borderId="0" xfId="0" applyFont="1" applyAlignment="1">
      <alignment vertical="center"/>
    </xf>
    <xf numFmtId="0" fontId="5" fillId="0" borderId="0" xfId="0" applyFont="1" applyAlignment="1">
      <alignment wrapText="1"/>
    </xf>
    <xf numFmtId="0" fontId="14" fillId="0" borderId="0" xfId="0" applyFont="1"/>
    <xf numFmtId="0" fontId="2" fillId="0" borderId="54" xfId="0" applyFont="1" applyBorder="1" applyAlignment="1">
      <alignment horizontal="left" indent="1"/>
    </xf>
    <xf numFmtId="0" fontId="3" fillId="0" borderId="55" xfId="0" applyFont="1" applyBorder="1" applyAlignment="1">
      <alignment horizontal="left" indent="1"/>
    </xf>
    <xf numFmtId="0" fontId="0" fillId="2" borderId="55" xfId="0" applyFill="1" applyBorder="1"/>
    <xf numFmtId="0" fontId="3" fillId="2" borderId="56" xfId="0" applyFont="1" applyFill="1" applyBorder="1" applyAlignment="1">
      <alignment horizontal="center" vertical="center"/>
    </xf>
    <xf numFmtId="0" fontId="3" fillId="0" borderId="42" xfId="0" applyFont="1" applyBorder="1" applyAlignment="1">
      <alignment horizontal="center"/>
    </xf>
    <xf numFmtId="0" fontId="3" fillId="0" borderId="57" xfId="0" applyFont="1" applyBorder="1" applyAlignment="1">
      <alignment horizontal="center"/>
    </xf>
    <xf numFmtId="0" fontId="4" fillId="0" borderId="57" xfId="0" applyFont="1" applyBorder="1" applyAlignment="1">
      <alignment horizontal="center" vertical="center"/>
    </xf>
    <xf numFmtId="0" fontId="4" fillId="2" borderId="57" xfId="0" applyFont="1" applyFill="1" applyBorder="1" applyAlignment="1">
      <alignment horizontal="center" vertical="center"/>
    </xf>
    <xf numFmtId="0" fontId="3" fillId="0" borderId="1" xfId="0" applyFont="1" applyBorder="1" applyAlignment="1">
      <alignment vertical="center" indent="1"/>
    </xf>
    <xf numFmtId="0" fontId="3" fillId="0" borderId="3" xfId="0" applyFont="1" applyBorder="1" applyAlignment="1">
      <alignment vertical="center" indent="1"/>
    </xf>
    <xf numFmtId="0" fontId="4" fillId="2" borderId="16" xfId="0" applyFont="1" applyFill="1" applyBorder="1" applyAlignment="1">
      <alignment horizontal="center" vertical="center"/>
    </xf>
    <xf numFmtId="0" fontId="3" fillId="0" borderId="6" xfId="0" applyFont="1" applyBorder="1" applyAlignment="1">
      <alignment vertical="center" indent="1"/>
    </xf>
    <xf numFmtId="0" fontId="3" fillId="0" borderId="8" xfId="0" applyFont="1" applyBorder="1" applyAlignment="1">
      <alignment vertical="center" indent="1"/>
    </xf>
    <xf numFmtId="43" fontId="14" fillId="2" borderId="8" xfId="1" applyFont="1" applyFill="1" applyBorder="1" applyAlignment="1">
      <alignment vertical="center"/>
    </xf>
    <xf numFmtId="43" fontId="11" fillId="2" borderId="58" xfId="36" applyNumberFormat="1" applyFill="1" applyBorder="1" applyAlignment="1">
      <alignment vertical="center"/>
    </xf>
    <xf numFmtId="0" fontId="4" fillId="0" borderId="0" xfId="0" applyFont="1" applyAlignment="1">
      <alignment horizontal="center"/>
    </xf>
    <xf numFmtId="0" fontId="14" fillId="0" borderId="42" xfId="0" applyFont="1" applyBorder="1" applyAlignment="1">
      <alignment horizontal="left" vertical="center" indent="2"/>
    </xf>
    <xf numFmtId="0" fontId="14" fillId="0" borderId="0" xfId="0" applyFont="1" applyAlignment="1">
      <alignment horizontal="left" vertical="center" indent="2"/>
    </xf>
    <xf numFmtId="43" fontId="14" fillId="2" borderId="15" xfId="1" applyFont="1" applyFill="1" applyBorder="1" applyAlignment="1">
      <alignment vertical="center"/>
    </xf>
    <xf numFmtId="43" fontId="11" fillId="2" borderId="57" xfId="36" applyNumberFormat="1" applyFill="1" applyBorder="1" applyAlignment="1">
      <alignment vertical="center"/>
    </xf>
    <xf numFmtId="0" fontId="14" fillId="0" borderId="7" xfId="0" applyFont="1" applyBorder="1" applyAlignment="1">
      <alignment horizontal="left" vertical="center" indent="2"/>
    </xf>
    <xf numFmtId="43" fontId="14" fillId="2" borderId="10" xfId="1" applyFont="1" applyFill="1" applyBorder="1" applyAlignment="1">
      <alignment vertical="center"/>
    </xf>
    <xf numFmtId="0" fontId="3" fillId="0" borderId="54" xfId="0" applyFont="1" applyBorder="1" applyAlignment="1">
      <alignment horizontal="left" vertical="center" indent="1"/>
    </xf>
    <xf numFmtId="0" fontId="3" fillId="0" borderId="7" xfId="0" applyFont="1" applyBorder="1" applyAlignment="1">
      <alignment horizontal="left" vertical="center" indent="1"/>
    </xf>
    <xf numFmtId="0" fontId="14" fillId="0" borderId="1" xfId="0" applyFont="1" applyBorder="1" applyAlignment="1">
      <alignment horizontal="left" vertical="center" indent="2"/>
    </xf>
    <xf numFmtId="43" fontId="14" fillId="2" borderId="59" xfId="1" applyFont="1" applyFill="1" applyBorder="1" applyAlignment="1">
      <alignment vertical="center"/>
    </xf>
    <xf numFmtId="0" fontId="3" fillId="0" borderId="4" xfId="0" applyFont="1" applyBorder="1" applyAlignment="1">
      <alignment horizontal="left" vertical="center" indent="1"/>
    </xf>
    <xf numFmtId="0" fontId="3" fillId="0" borderId="0" xfId="0" applyFont="1" applyAlignment="1">
      <alignment horizontal="left" vertical="center" indent="1"/>
    </xf>
    <xf numFmtId="43" fontId="14" fillId="2" borderId="46" xfId="1" applyFont="1" applyFill="1" applyBorder="1" applyAlignment="1">
      <alignment vertical="center"/>
    </xf>
    <xf numFmtId="0" fontId="14" fillId="0" borderId="4" xfId="0" applyFont="1" applyBorder="1" applyAlignment="1">
      <alignment horizontal="left" vertical="center" indent="2"/>
    </xf>
    <xf numFmtId="43" fontId="14" fillId="2" borderId="60" xfId="1" applyFont="1" applyFill="1" applyBorder="1" applyAlignment="1">
      <alignment vertical="center"/>
    </xf>
    <xf numFmtId="0" fontId="3" fillId="0" borderId="19" xfId="0" applyFont="1" applyBorder="1" applyAlignment="1">
      <alignment horizontal="left" vertical="center" indent="1"/>
    </xf>
    <xf numFmtId="0" fontId="3" fillId="0" borderId="61" xfId="0" applyFont="1" applyBorder="1" applyAlignment="1">
      <alignment horizontal="left" vertical="center" indent="1"/>
    </xf>
    <xf numFmtId="43" fontId="14" fillId="2" borderId="9" xfId="1" applyFont="1" applyFill="1" applyBorder="1" applyAlignment="1">
      <alignment vertical="center"/>
    </xf>
    <xf numFmtId="43" fontId="11" fillId="2" borderId="16" xfId="36" applyNumberFormat="1" applyFill="1" applyBorder="1" applyAlignment="1">
      <alignment vertical="center"/>
    </xf>
    <xf numFmtId="43" fontId="11" fillId="2" borderId="8" xfId="36" applyNumberFormat="1" applyFill="1" applyBorder="1" applyAlignment="1">
      <alignment vertical="center"/>
    </xf>
    <xf numFmtId="0" fontId="3" fillId="0" borderId="7" xfId="0" applyFont="1" applyBorder="1" applyAlignment="1">
      <alignment horizontal="center" vertical="center"/>
    </xf>
    <xf numFmtId="43" fontId="14" fillId="2" borderId="17" xfId="1" applyFont="1" applyFill="1" applyBorder="1" applyAlignment="1">
      <alignment vertical="center"/>
    </xf>
    <xf numFmtId="43" fontId="11" fillId="2" borderId="62" xfId="36" applyNumberFormat="1" applyFill="1" applyBorder="1" applyAlignment="1">
      <alignment vertical="center"/>
    </xf>
    <xf numFmtId="43" fontId="3" fillId="2" borderId="10" xfId="1" applyFont="1" applyFill="1" applyBorder="1" applyAlignment="1">
      <alignment vertical="center"/>
    </xf>
    <xf numFmtId="43" fontId="3" fillId="2" borderId="63" xfId="1" applyFont="1" applyFill="1" applyBorder="1" applyAlignment="1">
      <alignment vertical="center"/>
    </xf>
    <xf numFmtId="177" fontId="0" fillId="0" borderId="0" xfId="0" applyNumberFormat="1"/>
    <xf numFmtId="0" fontId="12" fillId="0" borderId="0" xfId="0" applyFont="1"/>
    <xf numFmtId="0" fontId="6" fillId="0" borderId="0" xfId="0" applyFont="1" applyAlignment="1">
      <alignment horizontal="left" indent="1"/>
    </xf>
    <xf numFmtId="177" fontId="6" fillId="0" borderId="0" xfId="0" applyNumberFormat="1" applyFont="1"/>
    <xf numFmtId="0" fontId="4" fillId="0" borderId="0" xfId="0" applyFont="1" applyAlignment="1">
      <alignment vertical="center"/>
    </xf>
    <xf numFmtId="0" fontId="4" fillId="2" borderId="0" xfId="0" applyFont="1" applyFill="1" applyAlignment="1">
      <alignment vertical="center"/>
    </xf>
    <xf numFmtId="0" fontId="15" fillId="0" borderId="0" xfId="0" applyFont="1"/>
    <xf numFmtId="0" fontId="16" fillId="0" borderId="1" xfId="0" applyFont="1" applyBorder="1" applyAlignment="1">
      <alignment indent="1"/>
    </xf>
    <xf numFmtId="0" fontId="5" fillId="0" borderId="2" xfId="0" applyFont="1" applyBorder="1" applyAlignment="1">
      <alignment wrapText="1"/>
    </xf>
    <xf numFmtId="0" fontId="3" fillId="0" borderId="2" xfId="0" applyFont="1" applyBorder="1"/>
    <xf numFmtId="0" fontId="3" fillId="0" borderId="2" xfId="0" applyFont="1" applyBorder="1" applyAlignment="1">
      <alignment wrapText="1"/>
    </xf>
    <xf numFmtId="0" fontId="17" fillId="0" borderId="2" xfId="0" applyFont="1" applyBorder="1" applyAlignment="1">
      <alignment horizontal="right"/>
    </xf>
    <xf numFmtId="0" fontId="17" fillId="0" borderId="3" xfId="0" applyFont="1" applyBorder="1" applyAlignment="1">
      <alignment horizontal="right"/>
    </xf>
    <xf numFmtId="0" fontId="4" fillId="0" borderId="0" xfId="0" applyFont="1"/>
    <xf numFmtId="0" fontId="18" fillId="0" borderId="4" xfId="0" applyFont="1" applyBorder="1" applyAlignment="1">
      <alignment horizontal="center"/>
    </xf>
    <xf numFmtId="0" fontId="10" fillId="0" borderId="0" xfId="0" applyFont="1" applyAlignment="1">
      <alignment horizontal="center"/>
    </xf>
    <xf numFmtId="0" fontId="15" fillId="0" borderId="5" xfId="0" applyFont="1" applyBorder="1"/>
    <xf numFmtId="0" fontId="5" fillId="0" borderId="4" xfId="0" applyFont="1" applyBorder="1" applyAlignment="1">
      <alignment wrapText="1"/>
    </xf>
    <xf numFmtId="0" fontId="5"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xf>
    <xf numFmtId="0" fontId="5" fillId="0" borderId="5" xfId="0" applyFont="1" applyBorder="1" applyAlignment="1">
      <alignment wrapText="1"/>
    </xf>
    <xf numFmtId="0" fontId="4" fillId="0" borderId="61" xfId="0" applyFont="1" applyBorder="1" applyAlignment="1">
      <alignment horizontal="center" vertical="center"/>
    </xf>
    <xf numFmtId="0" fontId="4" fillId="0" borderId="64" xfId="0" applyFont="1" applyBorder="1" applyAlignment="1">
      <alignment horizontal="center" vertical="center"/>
    </xf>
    <xf numFmtId="0" fontId="4" fillId="0" borderId="6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39"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0" xfId="0" applyFont="1" applyAlignment="1">
      <alignment horizontal="center" vertical="center" wrapText="1"/>
    </xf>
    <xf numFmtId="0" fontId="17" fillId="0" borderId="4" xfId="0" applyFont="1" applyBorder="1" applyAlignment="1">
      <alignment horizontal="left" indent="1"/>
    </xf>
    <xf numFmtId="178" fontId="5" fillId="0" borderId="65" xfId="0" applyNumberFormat="1" applyFont="1" applyBorder="1" applyAlignment="1">
      <alignment horizontal="right"/>
    </xf>
    <xf numFmtId="178" fontId="5" fillId="0" borderId="44" xfId="0" applyNumberFormat="1" applyFont="1" applyBorder="1" applyAlignment="1">
      <alignment horizontal="right"/>
    </xf>
    <xf numFmtId="178" fontId="5" fillId="0" borderId="5" xfId="0" applyNumberFormat="1" applyFont="1" applyBorder="1" applyAlignment="1">
      <alignment horizontal="right"/>
    </xf>
    <xf numFmtId="178" fontId="5" fillId="0" borderId="0" xfId="0" applyNumberFormat="1" applyFont="1" applyAlignment="1">
      <alignment horizontal="right"/>
    </xf>
    <xf numFmtId="178" fontId="5" fillId="0" borderId="4" xfId="0" applyNumberFormat="1" applyFont="1" applyBorder="1" applyAlignment="1">
      <alignment horizontal="right"/>
    </xf>
    <xf numFmtId="178" fontId="5" fillId="0" borderId="66" xfId="0" applyNumberFormat="1" applyFont="1" applyBorder="1" applyAlignment="1">
      <alignment horizontal="right"/>
    </xf>
    <xf numFmtId="0" fontId="5" fillId="0" borderId="4" xfId="0" applyFont="1" applyBorder="1" applyAlignment="1">
      <alignment wrapText="1" indent="1"/>
    </xf>
    <xf numFmtId="178" fontId="5" fillId="0" borderId="67" xfId="0" applyNumberFormat="1" applyFont="1" applyBorder="1" applyAlignment="1">
      <alignment horizontal="left"/>
    </xf>
    <xf numFmtId="178" fontId="5" fillId="0" borderId="68" xfId="0" applyNumberFormat="1" applyFont="1" applyBorder="1" applyAlignment="1">
      <alignment horizontal="right"/>
    </xf>
    <xf numFmtId="178" fontId="5" fillId="0" borderId="33" xfId="0" applyNumberFormat="1" applyFont="1" applyBorder="1" applyAlignment="1">
      <alignment horizontal="right"/>
    </xf>
    <xf numFmtId="178" fontId="5" fillId="0" borderId="69" xfId="0" applyNumberFormat="1" applyFont="1" applyBorder="1" applyAlignment="1">
      <alignment horizontal="right"/>
    </xf>
    <xf numFmtId="178" fontId="5" fillId="0" borderId="70" xfId="0" applyNumberFormat="1" applyFont="1" applyBorder="1" applyAlignment="1">
      <alignment horizontal="right"/>
    </xf>
    <xf numFmtId="178" fontId="5" fillId="0" borderId="71" xfId="0" applyNumberFormat="1" applyFont="1" applyBorder="1" applyAlignment="1">
      <alignment horizontal="left"/>
    </xf>
    <xf numFmtId="178" fontId="5" fillId="0" borderId="53" xfId="0" applyNumberFormat="1" applyFont="1" applyBorder="1" applyAlignment="1">
      <alignment horizontal="right"/>
    </xf>
    <xf numFmtId="178" fontId="5" fillId="0" borderId="52" xfId="0" applyNumberFormat="1" applyFont="1" applyBorder="1" applyAlignment="1">
      <alignment horizontal="right"/>
    </xf>
    <xf numFmtId="178" fontId="5" fillId="0" borderId="72" xfId="0" applyNumberFormat="1" applyFont="1" applyBorder="1" applyAlignment="1">
      <alignment horizontal="right"/>
    </xf>
    <xf numFmtId="178" fontId="5" fillId="0" borderId="73" xfId="0" applyNumberFormat="1" applyFont="1" applyBorder="1" applyAlignment="1">
      <alignment horizontal="left"/>
    </xf>
    <xf numFmtId="178" fontId="5" fillId="0" borderId="74" xfId="0" applyNumberFormat="1" applyFont="1" applyBorder="1" applyAlignment="1">
      <alignment horizontal="right"/>
    </xf>
    <xf numFmtId="178" fontId="17" fillId="0" borderId="6" xfId="0" applyNumberFormat="1" applyFont="1" applyBorder="1" applyAlignment="1">
      <alignment vertical="center"/>
    </xf>
    <xf numFmtId="178" fontId="17" fillId="0" borderId="75" xfId="0" applyNumberFormat="1" applyFont="1" applyBorder="1" applyAlignment="1">
      <alignment vertical="center"/>
    </xf>
    <xf numFmtId="178" fontId="17" fillId="0" borderId="17" xfId="0" applyNumberFormat="1" applyFont="1" applyBorder="1" applyAlignment="1">
      <alignment vertical="center"/>
    </xf>
    <xf numFmtId="178" fontId="17" fillId="0" borderId="0" xfId="0" applyNumberFormat="1" applyFont="1" applyAlignment="1">
      <alignment vertical="center"/>
    </xf>
    <xf numFmtId="178" fontId="17" fillId="0" borderId="7" xfId="0" applyNumberFormat="1" applyFont="1" applyBorder="1" applyAlignment="1">
      <alignment vertical="center"/>
    </xf>
    <xf numFmtId="178" fontId="17" fillId="0" borderId="76" xfId="0" applyNumberFormat="1" applyFont="1" applyBorder="1" applyAlignment="1">
      <alignment vertical="center"/>
    </xf>
    <xf numFmtId="0" fontId="5" fillId="0" borderId="0" xfId="0" applyFont="1" applyAlignment="1">
      <alignment textRotation="255" wrapText="1"/>
    </xf>
    <xf numFmtId="0" fontId="12" fillId="2" borderId="0" xfId="0" applyFont="1" applyFill="1"/>
    <xf numFmtId="0" fontId="5" fillId="2" borderId="0" xfId="0" applyFont="1" applyFill="1" applyAlignment="1">
      <alignment horizontal="center"/>
    </xf>
    <xf numFmtId="0" fontId="4" fillId="2" borderId="0" xfId="0" applyFont="1" applyFill="1" applyAlignment="1">
      <alignment horizontal="center"/>
    </xf>
    <xf numFmtId="178" fontId="5" fillId="0" borderId="0" xfId="0" applyNumberFormat="1" applyFont="1" applyAlignment="1">
      <alignment wrapText="1"/>
    </xf>
    <xf numFmtId="0" fontId="5" fillId="0" borderId="2" xfId="0" applyFont="1" applyBorder="1"/>
    <xf numFmtId="0" fontId="14" fillId="0" borderId="2" xfId="0" applyFont="1" applyBorder="1" applyAlignment="1">
      <alignment horizont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4" xfId="0" applyFont="1" applyBorder="1"/>
    <xf numFmtId="0" fontId="5" fillId="0" borderId="5" xfId="0" applyFont="1" applyBorder="1"/>
    <xf numFmtId="0" fontId="5" fillId="0" borderId="59" xfId="0" applyFont="1" applyBorder="1"/>
    <xf numFmtId="0" fontId="4" fillId="0" borderId="61" xfId="0" applyFont="1" applyBorder="1" applyAlignment="1">
      <alignment horizontal="center"/>
    </xf>
    <xf numFmtId="0" fontId="4" fillId="0" borderId="64" xfId="0" applyFont="1" applyBorder="1" applyAlignment="1">
      <alignment horizontal="center"/>
    </xf>
    <xf numFmtId="0" fontId="4" fillId="0" borderId="63" xfId="0" applyFont="1" applyBorder="1" applyAlignment="1">
      <alignment horizontal="center"/>
    </xf>
    <xf numFmtId="0" fontId="4" fillId="0" borderId="59" xfId="0" applyFont="1" applyBorder="1" applyAlignment="1">
      <alignment horizontal="center" vertical="center" wrapText="1"/>
    </xf>
    <xf numFmtId="0" fontId="4" fillId="0" borderId="46" xfId="0" applyFont="1" applyBorder="1" applyAlignment="1">
      <alignment horizontal="center" vertical="center"/>
    </xf>
    <xf numFmtId="0" fontId="13" fillId="0" borderId="59" xfId="0" applyFont="1" applyBorder="1" applyAlignment="1">
      <alignment horizontal="center" vertical="center" wrapText="1"/>
    </xf>
    <xf numFmtId="0" fontId="4" fillId="0" borderId="46" xfId="0" applyFont="1" applyBorder="1" applyAlignment="1">
      <alignment horizontal="center" vertical="center" wrapText="1"/>
    </xf>
    <xf numFmtId="58" fontId="13" fillId="0" borderId="59" xfId="0" applyNumberFormat="1" applyFont="1" applyBorder="1" applyAlignment="1">
      <alignment horizontal="center" vertical="center"/>
    </xf>
    <xf numFmtId="0" fontId="5" fillId="0" borderId="60" xfId="0" applyFont="1" applyBorder="1"/>
    <xf numFmtId="0" fontId="13" fillId="0" borderId="60" xfId="0" applyFont="1" applyBorder="1" applyAlignment="1">
      <alignment horizontal="center" vertical="center" wrapText="1"/>
    </xf>
    <xf numFmtId="0" fontId="4" fillId="0" borderId="60" xfId="0" applyFont="1" applyBorder="1" applyAlignment="1">
      <alignment horizontal="center" vertical="center" wrapText="1"/>
    </xf>
    <xf numFmtId="0" fontId="13" fillId="0" borderId="60" xfId="0" applyFont="1" applyBorder="1" applyAlignment="1">
      <alignment horizontal="center" vertical="center"/>
    </xf>
    <xf numFmtId="0" fontId="5" fillId="0" borderId="77" xfId="0" applyFont="1" applyBorder="1" applyAlignment="1">
      <alignment horizontal="left" vertical="center" wrapText="1"/>
    </xf>
    <xf numFmtId="178" fontId="5" fillId="0" borderId="45" xfId="0" applyNumberFormat="1" applyFont="1" applyBorder="1" applyAlignment="1">
      <alignment horizontal="right"/>
    </xf>
    <xf numFmtId="0" fontId="5" fillId="0" borderId="77" xfId="0" applyFont="1" applyBorder="1" applyAlignment="1">
      <alignment indent="1"/>
    </xf>
    <xf numFmtId="178" fontId="17" fillId="0" borderId="61" xfId="0" applyNumberFormat="1" applyFont="1" applyBorder="1" applyAlignment="1">
      <alignment vertical="center"/>
    </xf>
    <xf numFmtId="178" fontId="17" fillId="0" borderId="39" xfId="0" applyNumberFormat="1" applyFont="1" applyBorder="1" applyAlignment="1">
      <alignment vertical="center"/>
    </xf>
    <xf numFmtId="0" fontId="15" fillId="0" borderId="57" xfId="0" applyFont="1" applyBorder="1"/>
    <xf numFmtId="178" fontId="17" fillId="0" borderId="78" xfId="0" applyNumberFormat="1" applyFont="1" applyBorder="1" applyAlignment="1">
      <alignment vertical="center"/>
    </xf>
    <xf numFmtId="178" fontId="17" fillId="0" borderId="79" xfId="0" applyNumberFormat="1" applyFont="1" applyBorder="1" applyAlignment="1">
      <alignment vertical="center"/>
    </xf>
    <xf numFmtId="178" fontId="17" fillId="0" borderId="42" xfId="0" applyNumberFormat="1" applyFont="1" applyBorder="1" applyAlignment="1">
      <alignment vertical="center"/>
    </xf>
    <xf numFmtId="0" fontId="5" fillId="0" borderId="7" xfId="0" applyFont="1" applyBorder="1"/>
    <xf numFmtId="0" fontId="16" fillId="0" borderId="0" xfId="0" applyFont="1" applyAlignment="1">
      <alignment indent="1"/>
    </xf>
    <xf numFmtId="0" fontId="17" fillId="0" borderId="0" xfId="0" applyFont="1" applyAlignment="1">
      <alignment horizontal="right"/>
    </xf>
    <xf numFmtId="0" fontId="15" fillId="0" borderId="42" xfId="0" applyFont="1" applyBorder="1"/>
    <xf numFmtId="0" fontId="18" fillId="0" borderId="0" xfId="0" applyFont="1" applyAlignment="1">
      <alignment horizontal="center"/>
    </xf>
    <xf numFmtId="0" fontId="5" fillId="0" borderId="9" xfId="0" applyFont="1" applyBorder="1"/>
    <xf numFmtId="0" fontId="4" fillId="0" borderId="55" xfId="0" applyFont="1" applyBorder="1"/>
    <xf numFmtId="0" fontId="4" fillId="0" borderId="59" xfId="0" applyFont="1" applyBorder="1"/>
    <xf numFmtId="0" fontId="4" fillId="0" borderId="80" xfId="0" applyFont="1" applyBorder="1"/>
    <xf numFmtId="0" fontId="4" fillId="0" borderId="81" xfId="0" applyFont="1" applyBorder="1"/>
    <xf numFmtId="0" fontId="4" fillId="0" borderId="82" xfId="0" applyFont="1" applyBorder="1"/>
    <xf numFmtId="0" fontId="4" fillId="0" borderId="1" xfId="0" applyFont="1" applyBorder="1" applyAlignment="1">
      <alignment horizontal="center" vertical="center"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5" xfId="0" applyFont="1" applyBorder="1" applyAlignment="1">
      <alignment horizontal="center" vertical="center"/>
    </xf>
    <xf numFmtId="0" fontId="13" fillId="0" borderId="4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4" xfId="0" applyFont="1" applyBorder="1" applyAlignment="1">
      <alignment horizontal="center" vertical="center" wrapText="1"/>
    </xf>
    <xf numFmtId="0" fontId="4" fillId="0" borderId="4" xfId="0" applyFont="1" applyBorder="1" applyAlignment="1">
      <alignment horizontal="center" vertical="center" wrapText="1"/>
    </xf>
    <xf numFmtId="58" fontId="13" fillId="0" borderId="9" xfId="0" applyNumberFormat="1" applyFont="1" applyBorder="1" applyAlignment="1">
      <alignment horizontal="center" vertical="center"/>
    </xf>
    <xf numFmtId="58" fontId="13" fillId="0" borderId="2" xfId="0" applyNumberFormat="1" applyFont="1" applyBorder="1" applyAlignment="1">
      <alignment horizontal="center" vertical="center"/>
    </xf>
    <xf numFmtId="58" fontId="13" fillId="0" borderId="3" xfId="0" applyNumberFormat="1" applyFont="1" applyBorder="1" applyAlignment="1">
      <alignment horizontal="center" vertical="center"/>
    </xf>
    <xf numFmtId="0" fontId="5" fillId="0" borderId="10" xfId="0" applyFont="1" applyBorder="1"/>
    <xf numFmtId="0" fontId="13" fillId="0" borderId="83" xfId="0" applyFont="1" applyBorder="1" applyAlignment="1">
      <alignment horizontal="center" vertical="center" wrapText="1"/>
    </xf>
    <xf numFmtId="0" fontId="13" fillId="0" borderId="15" xfId="0" applyFont="1" applyBorder="1" applyAlignment="1">
      <alignment horizontal="center" vertical="center"/>
    </xf>
    <xf numFmtId="0" fontId="13" fillId="0" borderId="0" xfId="0" applyFont="1" applyAlignment="1">
      <alignment horizontal="center" vertical="center"/>
    </xf>
    <xf numFmtId="0" fontId="13" fillId="0" borderId="10" xfId="0" applyFont="1" applyBorder="1" applyAlignment="1">
      <alignment horizontal="center" vertical="center"/>
    </xf>
    <xf numFmtId="0" fontId="13" fillId="0" borderId="5" xfId="0" applyFont="1" applyBorder="1" applyAlignment="1">
      <alignment horizontal="center" vertical="center"/>
    </xf>
    <xf numFmtId="0" fontId="5" fillId="0" borderId="0" xfId="0" applyFont="1" applyAlignment="1">
      <alignment vertical="center" wrapText="1"/>
    </xf>
    <xf numFmtId="178" fontId="5" fillId="0" borderId="9" xfId="0" applyNumberFormat="1" applyFont="1" applyBorder="1" applyAlignment="1">
      <alignment horizontal="right"/>
    </xf>
    <xf numFmtId="178" fontId="5" fillId="0" borderId="3" xfId="0" applyNumberFormat="1" applyFont="1" applyBorder="1" applyAlignment="1">
      <alignment horizontal="right"/>
    </xf>
    <xf numFmtId="178" fontId="5" fillId="0" borderId="15" xfId="0" applyNumberFormat="1" applyFont="1" applyBorder="1" applyAlignment="1">
      <alignment horizontal="right"/>
    </xf>
    <xf numFmtId="0" fontId="5" fillId="0" borderId="0" xfId="0" applyFont="1" applyAlignment="1">
      <alignment indent="1"/>
    </xf>
    <xf numFmtId="0" fontId="15" fillId="2" borderId="0" xfId="0" applyFont="1" applyFill="1"/>
    <xf numFmtId="178" fontId="17" fillId="2" borderId="84" xfId="0" applyNumberFormat="1" applyFont="1" applyFill="1" applyBorder="1" applyAlignment="1">
      <alignment vertical="center"/>
    </xf>
    <xf numFmtId="178" fontId="17" fillId="2" borderId="85" xfId="0" applyNumberFormat="1" applyFont="1" applyFill="1" applyBorder="1" applyAlignment="1">
      <alignment vertical="center"/>
    </xf>
    <xf numFmtId="178" fontId="17" fillId="2" borderId="22" xfId="0" applyNumberFormat="1" applyFont="1" applyFill="1" applyBorder="1" applyAlignment="1">
      <alignment vertical="center"/>
    </xf>
    <xf numFmtId="178" fontId="17" fillId="2" borderId="17" xfId="0" applyNumberFormat="1" applyFont="1" applyFill="1" applyBorder="1" applyAlignment="1">
      <alignment vertical="center"/>
    </xf>
    <xf numFmtId="178" fontId="17" fillId="2" borderId="2" xfId="0" applyNumberFormat="1" applyFont="1" applyFill="1" applyBorder="1" applyAlignment="1">
      <alignment vertical="center"/>
    </xf>
    <xf numFmtId="178" fontId="17" fillId="2" borderId="86" xfId="0" applyNumberFormat="1" applyFont="1" applyFill="1" applyBorder="1" applyAlignment="1">
      <alignment vertical="center"/>
    </xf>
    <xf numFmtId="178" fontId="17" fillId="2" borderId="10" xfId="0" applyNumberFormat="1" applyFont="1" applyFill="1" applyBorder="1" applyAlignment="1">
      <alignment vertical="center"/>
    </xf>
    <xf numFmtId="178" fontId="17" fillId="2" borderId="7" xfId="0" applyNumberFormat="1" applyFont="1" applyFill="1" applyBorder="1" applyAlignment="1">
      <alignment vertical="center"/>
    </xf>
    <xf numFmtId="178" fontId="17" fillId="2" borderId="87" xfId="0" applyNumberFormat="1" applyFont="1" applyFill="1" applyBorder="1" applyAlignment="1">
      <alignment vertical="center"/>
    </xf>
    <xf numFmtId="178" fontId="17" fillId="2" borderId="0" xfId="0" applyNumberFormat="1" applyFont="1" applyFill="1" applyAlignment="1">
      <alignment vertical="center"/>
    </xf>
    <xf numFmtId="178" fontId="5" fillId="0" borderId="0" xfId="0" applyNumberFormat="1" applyFont="1"/>
    <xf numFmtId="0" fontId="13" fillId="0" borderId="81" xfId="0" applyFont="1" applyBorder="1" applyAlignment="1">
      <alignment horizontal="center" vertical="center" wrapText="1"/>
    </xf>
    <xf numFmtId="58" fontId="13" fillId="0" borderId="1" xfId="0" applyNumberFormat="1" applyFont="1" applyBorder="1" applyAlignment="1">
      <alignment horizontal="center" vertical="center"/>
    </xf>
    <xf numFmtId="0" fontId="13" fillId="0" borderId="10" xfId="0" applyFont="1" applyBorder="1" applyAlignment="1">
      <alignment horizontal="center" vertical="center" wrapText="1"/>
    </xf>
    <xf numFmtId="0" fontId="13" fillId="0" borderId="6" xfId="0" applyFont="1" applyBorder="1" applyAlignment="1">
      <alignment horizontal="center" vertical="center"/>
    </xf>
    <xf numFmtId="0" fontId="5" fillId="0" borderId="57" xfId="0" applyFont="1" applyBorder="1" applyAlignment="1">
      <alignment vertical="center" wrapText="1"/>
    </xf>
    <xf numFmtId="178" fontId="5" fillId="0" borderId="57" xfId="0" applyNumberFormat="1" applyFont="1" applyBorder="1" applyAlignment="1">
      <alignment horizontal="right"/>
    </xf>
    <xf numFmtId="0" fontId="5" fillId="0" borderId="57" xfId="0" applyFont="1" applyBorder="1" applyAlignment="1">
      <alignment indent="1"/>
    </xf>
    <xf numFmtId="178" fontId="5" fillId="0" borderId="10" xfId="0" applyNumberFormat="1" applyFont="1" applyBorder="1" applyAlignment="1">
      <alignment horizontal="right"/>
    </xf>
    <xf numFmtId="178" fontId="17" fillId="2" borderId="1" xfId="0" applyNumberFormat="1" applyFont="1" applyFill="1" applyBorder="1" applyAlignment="1">
      <alignment vertical="center"/>
    </xf>
    <xf numFmtId="178" fontId="17" fillId="2" borderId="88" xfId="0" applyNumberFormat="1" applyFont="1" applyFill="1" applyBorder="1" applyAlignment="1">
      <alignment vertical="center"/>
    </xf>
    <xf numFmtId="178" fontId="17" fillId="2" borderId="79" xfId="0" applyNumberFormat="1" applyFont="1" applyFill="1" applyBorder="1" applyAlignment="1">
      <alignment vertical="center"/>
    </xf>
    <xf numFmtId="178" fontId="17" fillId="2" borderId="60" xfId="0" applyNumberFormat="1" applyFont="1" applyFill="1" applyBorder="1" applyAlignment="1">
      <alignment vertical="center"/>
    </xf>
    <xf numFmtId="0" fontId="5" fillId="0" borderId="54" xfId="0" applyFont="1" applyBorder="1"/>
    <xf numFmtId="0" fontId="4" fillId="0" borderId="82" xfId="0" applyFont="1" applyBorder="1" applyAlignment="1">
      <alignment horizontal="center"/>
    </xf>
    <xf numFmtId="0" fontId="4" fillId="0" borderId="55" xfId="0" applyFont="1" applyBorder="1" applyAlignment="1">
      <alignment horizontal="center"/>
    </xf>
    <xf numFmtId="0" fontId="4" fillId="0" borderId="80" xfId="0" applyFont="1" applyBorder="1" applyAlignment="1">
      <alignment horizontal="center"/>
    </xf>
    <xf numFmtId="0" fontId="4" fillId="0" borderId="81" xfId="0" applyFont="1" applyBorder="1" applyAlignment="1">
      <alignment horizontal="center" vertical="center" wrapText="1"/>
    </xf>
    <xf numFmtId="0" fontId="4" fillId="0" borderId="56" xfId="0" applyFont="1" applyBorder="1" applyAlignment="1">
      <alignment horizontal="center"/>
    </xf>
    <xf numFmtId="0" fontId="5" fillId="0" borderId="79" xfId="0" applyFont="1" applyBorder="1"/>
    <xf numFmtId="0" fontId="4" fillId="0" borderId="88" xfId="0" applyFont="1" applyBorder="1" applyAlignment="1">
      <alignment horizontal="center" vertical="center" wrapText="1"/>
    </xf>
    <xf numFmtId="0" fontId="5" fillId="0" borderId="77" xfId="0" applyFont="1" applyBorder="1" applyAlignment="1">
      <alignment vertical="center" indent="1"/>
    </xf>
    <xf numFmtId="0" fontId="5" fillId="0" borderId="77" xfId="0" applyFont="1" applyBorder="1" applyAlignment="1">
      <alignment vertical="center" wrapText="1"/>
    </xf>
    <xf numFmtId="178" fontId="17" fillId="2" borderId="61" xfId="0" applyNumberFormat="1" applyFont="1" applyFill="1" applyBorder="1" applyAlignment="1">
      <alignment vertical="center"/>
    </xf>
    <xf numFmtId="178" fontId="17" fillId="2" borderId="39" xfId="0" applyNumberFormat="1" applyFont="1" applyFill="1" applyBorder="1" applyAlignment="1">
      <alignment vertical="center"/>
    </xf>
    <xf numFmtId="178" fontId="17" fillId="2" borderId="6" xfId="0" applyNumberFormat="1" applyFont="1" applyFill="1" applyBorder="1" applyAlignment="1">
      <alignment vertical="center"/>
    </xf>
    <xf numFmtId="178" fontId="17" fillId="2" borderId="89" xfId="0" applyNumberFormat="1" applyFont="1" applyFill="1" applyBorder="1" applyAlignment="1">
      <alignment vertical="center"/>
    </xf>
    <xf numFmtId="178" fontId="17" fillId="2" borderId="8" xfId="0" applyNumberFormat="1" applyFont="1" applyFill="1" applyBorder="1" applyAlignment="1">
      <alignment vertical="center"/>
    </xf>
    <xf numFmtId="0" fontId="5" fillId="2" borderId="0" xfId="0" applyFont="1" applyFill="1" applyAlignment="1">
      <alignment horizontal="center" vertical="center" wrapText="1"/>
    </xf>
    <xf numFmtId="0" fontId="3" fillId="2" borderId="2" xfId="0" applyFont="1" applyFill="1" applyBorder="1"/>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5" xfId="0" applyFont="1" applyFill="1" applyBorder="1" applyAlignment="1">
      <alignment horizontal="center"/>
    </xf>
    <xf numFmtId="0" fontId="4" fillId="2" borderId="2" xfId="0" applyFont="1" applyFill="1" applyBorder="1" applyAlignment="1">
      <alignment horizontal="center"/>
    </xf>
    <xf numFmtId="0" fontId="4" fillId="2" borderId="1" xfId="0" applyFont="1" applyFill="1" applyBorder="1" applyAlignment="1">
      <alignment horizontal="center"/>
    </xf>
    <xf numFmtId="0" fontId="4" fillId="2" borderId="3" xfId="0" applyFont="1" applyFill="1" applyBorder="1" applyAlignment="1">
      <alignment horizontal="center"/>
    </xf>
    <xf numFmtId="0" fontId="4" fillId="2" borderId="10" xfId="0" applyFont="1" applyFill="1" applyBorder="1" applyAlignment="1">
      <alignment horizontal="center" vertical="center"/>
    </xf>
    <xf numFmtId="0" fontId="4" fillId="2" borderId="90" xfId="0" applyFont="1" applyFill="1" applyBorder="1" applyAlignment="1">
      <alignment horizontal="center" vertical="center" wrapText="1"/>
    </xf>
    <xf numFmtId="0" fontId="4" fillId="2" borderId="8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4" xfId="0" applyFont="1" applyFill="1" applyBorder="1"/>
    <xf numFmtId="0" fontId="5" fillId="2" borderId="4" xfId="0" applyFont="1" applyFill="1" applyBorder="1"/>
    <xf numFmtId="0" fontId="5" fillId="2" borderId="10" xfId="0" applyFont="1" applyFill="1" applyBorder="1"/>
    <xf numFmtId="0" fontId="4" fillId="2" borderId="1" xfId="0" applyFont="1" applyFill="1" applyBorder="1"/>
    <xf numFmtId="0" fontId="5" fillId="2" borderId="84" xfId="0" applyFont="1" applyFill="1" applyBorder="1"/>
    <xf numFmtId="0" fontId="5" fillId="2" borderId="90" xfId="0" applyFont="1" applyFill="1" applyBorder="1"/>
    <xf numFmtId="0" fontId="5" fillId="2" borderId="1" xfId="0" applyFont="1" applyFill="1" applyBorder="1"/>
    <xf numFmtId="0" fontId="5" fillId="2" borderId="3" xfId="0" applyFont="1" applyFill="1" applyBorder="1"/>
    <xf numFmtId="0" fontId="5" fillId="2" borderId="8" xfId="0" applyFont="1" applyFill="1" applyBorder="1"/>
    <xf numFmtId="0" fontId="5" fillId="2" borderId="7" xfId="0" applyFont="1" applyFill="1" applyBorder="1"/>
    <xf numFmtId="0" fontId="4" fillId="2" borderId="17" xfId="0" applyFont="1" applyFill="1" applyBorder="1"/>
    <xf numFmtId="0" fontId="5" fillId="2" borderId="16" xfId="0" applyFont="1" applyFill="1" applyBorder="1"/>
    <xf numFmtId="0" fontId="5" fillId="2" borderId="2" xfId="0" applyFont="1" applyFill="1" applyBorder="1"/>
    <xf numFmtId="0" fontId="4" fillId="2" borderId="4" xfId="0" applyFont="1" applyFill="1" applyBorder="1" applyAlignment="1">
      <alignment horizontal="left" vertical="center"/>
    </xf>
    <xf numFmtId="0" fontId="4" fillId="2" borderId="0" xfId="0" applyFont="1" applyFill="1" applyAlignment="1">
      <alignment horizontal="left" vertical="center"/>
    </xf>
    <xf numFmtId="0" fontId="4" fillId="2" borderId="9" xfId="0" applyFont="1" applyFill="1" applyBorder="1" applyAlignment="1">
      <alignment horizontal="center" vertical="center"/>
    </xf>
    <xf numFmtId="0" fontId="2" fillId="2" borderId="54" xfId="0" applyFont="1" applyFill="1" applyBorder="1" applyAlignment="1">
      <alignment horizontal="left" indent="1"/>
    </xf>
    <xf numFmtId="0" fontId="3" fillId="2" borderId="55" xfId="0" applyFont="1" applyFill="1" applyBorder="1" applyAlignment="1">
      <alignment horizontal="left" indent="1"/>
    </xf>
    <xf numFmtId="0" fontId="3" fillId="2" borderId="55" xfId="0" applyFont="1" applyFill="1" applyBorder="1"/>
    <xf numFmtId="0" fontId="3" fillId="2" borderId="56" xfId="0" applyFont="1" applyFill="1" applyBorder="1"/>
    <xf numFmtId="0" fontId="3" fillId="2" borderId="42" xfId="0" applyFont="1" applyFill="1" applyBorder="1" applyAlignment="1">
      <alignment horizontal="center"/>
    </xf>
    <xf numFmtId="0" fontId="3" fillId="2" borderId="57" xfId="0" applyFont="1" applyFill="1" applyBorder="1" applyAlignment="1">
      <alignment horizontal="center"/>
    </xf>
    <xf numFmtId="0" fontId="3" fillId="2" borderId="42" xfId="0" applyFont="1" applyFill="1" applyBorder="1" applyAlignment="1">
      <alignment horizontal="center" vertical="center"/>
    </xf>
    <xf numFmtId="0" fontId="3" fillId="2" borderId="0" xfId="0" applyFont="1" applyFill="1" applyAlignment="1">
      <alignment horizontal="center" vertical="center"/>
    </xf>
    <xf numFmtId="0" fontId="3" fillId="2" borderId="57" xfId="0" applyFont="1" applyFill="1" applyBorder="1" applyAlignment="1">
      <alignment horizontal="center" vertical="center"/>
    </xf>
    <xf numFmtId="0" fontId="14" fillId="2" borderId="9" xfId="0" applyFont="1" applyFill="1" applyBorder="1"/>
    <xf numFmtId="179" fontId="3" fillId="2" borderId="2" xfId="0" applyNumberFormat="1" applyFont="1" applyFill="1" applyBorder="1" applyAlignment="1">
      <alignment horizontal="center" vertical="center"/>
    </xf>
    <xf numFmtId="179" fontId="3" fillId="2" borderId="3"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vertical="center"/>
    </xf>
    <xf numFmtId="0" fontId="3" fillId="2" borderId="17" xfId="0" applyFont="1" applyFill="1" applyBorder="1" applyAlignment="1">
      <alignment horizontal="center" vertical="center" wrapText="1"/>
    </xf>
    <xf numFmtId="0" fontId="3" fillId="2" borderId="90" xfId="0" applyFont="1" applyFill="1" applyBorder="1" applyAlignment="1">
      <alignment horizontal="center" vertical="center" wrapText="1"/>
    </xf>
    <xf numFmtId="0" fontId="3" fillId="2" borderId="84"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14" fillId="2" borderId="42" xfId="0" applyFont="1" applyFill="1" applyBorder="1" applyAlignment="1">
      <alignment vertical="center"/>
    </xf>
    <xf numFmtId="2" fontId="14" fillId="2" borderId="42" xfId="0" applyNumberFormat="1" applyFont="1" applyFill="1" applyBorder="1" applyAlignment="1">
      <alignment vertical="center"/>
    </xf>
    <xf numFmtId="2" fontId="14" fillId="2" borderId="46" xfId="0" applyNumberFormat="1" applyFont="1" applyFill="1" applyBorder="1"/>
    <xf numFmtId="2" fontId="14" fillId="2" borderId="91" xfId="0" applyNumberFormat="1" applyFont="1" applyFill="1" applyBorder="1"/>
    <xf numFmtId="0" fontId="14" fillId="2" borderId="4" xfId="0" applyFont="1" applyFill="1" applyBorder="1" applyAlignment="1">
      <alignment vertical="center"/>
    </xf>
    <xf numFmtId="0" fontId="14" fillId="2" borderId="4" xfId="0" applyFont="1" applyFill="1" applyBorder="1" applyAlignment="1">
      <alignment horizontal="left" vertical="center" indent="1"/>
    </xf>
    <xf numFmtId="0" fontId="14" fillId="2" borderId="42" xfId="0" applyFont="1" applyFill="1" applyBorder="1" applyAlignment="1">
      <alignment horizontal="left" vertical="center" indent="1"/>
    </xf>
    <xf numFmtId="2" fontId="14" fillId="2" borderId="42" xfId="0" applyNumberFormat="1" applyFont="1" applyFill="1" applyBorder="1" applyAlignment="1">
      <alignment horizontal="left" vertical="center" indent="1"/>
    </xf>
    <xf numFmtId="2" fontId="14" fillId="2" borderId="46" xfId="36" applyNumberFormat="1" applyFont="1" applyFill="1" applyBorder="1"/>
    <xf numFmtId="2" fontId="14" fillId="2" borderId="91" xfId="36" applyNumberFormat="1" applyFont="1" applyFill="1" applyBorder="1"/>
    <xf numFmtId="0" fontId="14" fillId="2" borderId="46" xfId="0" applyFont="1" applyFill="1" applyBorder="1" applyAlignment="1">
      <alignment horizontal="center" vertical="center"/>
    </xf>
    <xf numFmtId="2" fontId="14" fillId="2" borderId="46" xfId="0" applyNumberFormat="1" applyFont="1" applyFill="1" applyBorder="1" applyAlignment="1">
      <alignment horizontal="center" vertical="center"/>
    </xf>
    <xf numFmtId="0" fontId="14" fillId="2" borderId="42" xfId="0" applyFont="1" applyFill="1" applyBorder="1" applyAlignment="1">
      <alignment horizontal="center" vertical="center"/>
    </xf>
    <xf numFmtId="2" fontId="14" fillId="2" borderId="42" xfId="0" applyNumberFormat="1" applyFont="1" applyFill="1" applyBorder="1" applyAlignment="1">
      <alignment horizontal="center" vertical="center"/>
    </xf>
    <xf numFmtId="0" fontId="3" fillId="2" borderId="17" xfId="0" applyFont="1" applyFill="1" applyBorder="1" applyAlignment="1">
      <alignment vertical="center"/>
    </xf>
    <xf numFmtId="0" fontId="14" fillId="2" borderId="90" xfId="0" applyFont="1" applyFill="1" applyBorder="1" applyAlignment="1">
      <alignment horizontal="left" vertical="center" indent="1"/>
    </xf>
    <xf numFmtId="2" fontId="14" fillId="2" borderId="85" xfId="0" applyNumberFormat="1" applyFont="1" applyFill="1" applyBorder="1" applyAlignment="1">
      <alignment horizontal="left" vertical="center" indent="1"/>
    </xf>
    <xf numFmtId="2" fontId="14" fillId="2" borderId="92" xfId="36" applyNumberFormat="1" applyFont="1" applyFill="1" applyBorder="1"/>
    <xf numFmtId="2" fontId="14" fillId="2" borderId="86" xfId="36" applyNumberFormat="1" applyFont="1" applyFill="1" applyBorder="1"/>
    <xf numFmtId="0" fontId="3" fillId="2" borderId="9" xfId="0" applyFont="1" applyFill="1" applyBorder="1" applyAlignment="1">
      <alignment vertical="center"/>
    </xf>
    <xf numFmtId="0" fontId="14" fillId="2" borderId="7" xfId="0" applyFont="1" applyFill="1" applyBorder="1" applyAlignment="1">
      <alignment horizontal="left" vertical="center" indent="1"/>
    </xf>
    <xf numFmtId="2" fontId="14" fillId="2" borderId="87" xfId="0" applyNumberFormat="1" applyFont="1" applyFill="1" applyBorder="1" applyAlignment="1">
      <alignment horizontal="left" vertical="center" indent="1"/>
    </xf>
    <xf numFmtId="2" fontId="14" fillId="2" borderId="89" xfId="36" applyNumberFormat="1" applyFont="1" applyFill="1" applyBorder="1"/>
    <xf numFmtId="2" fontId="14" fillId="2" borderId="93" xfId="36" applyNumberFormat="1" applyFont="1" applyFill="1" applyBorder="1"/>
    <xf numFmtId="0" fontId="5" fillId="2" borderId="42" xfId="0" applyFont="1" applyFill="1" applyBorder="1" applyAlignment="1">
      <alignment horizontal="center" vertical="center"/>
    </xf>
    <xf numFmtId="0" fontId="14" fillId="2" borderId="90" xfId="0" applyFont="1" applyFill="1" applyBorder="1" applyAlignment="1">
      <alignment horizontal="center" vertical="center"/>
    </xf>
    <xf numFmtId="2" fontId="14" fillId="2" borderId="85" xfId="0" applyNumberFormat="1" applyFont="1" applyFill="1" applyBorder="1" applyAlignment="1">
      <alignment horizontal="center" vertical="center"/>
    </xf>
    <xf numFmtId="0" fontId="14" fillId="2" borderId="2" xfId="0" applyFont="1" applyFill="1" applyBorder="1" applyAlignment="1">
      <alignment horizontal="center" vertical="center"/>
    </xf>
    <xf numFmtId="2" fontId="14" fillId="2" borderId="22" xfId="0" applyNumberFormat="1" applyFont="1" applyFill="1" applyBorder="1" applyAlignment="1">
      <alignment horizontal="center" vertical="center"/>
    </xf>
    <xf numFmtId="2" fontId="14" fillId="2" borderId="94" xfId="36" applyNumberFormat="1" applyFont="1" applyFill="1" applyBorder="1"/>
    <xf numFmtId="2" fontId="14" fillId="2" borderId="95" xfId="36" applyNumberFormat="1" applyFont="1" applyFill="1" applyBorder="1"/>
    <xf numFmtId="0" fontId="12" fillId="2" borderId="0" xfId="0" applyFont="1" applyFill="1" applyAlignment="1">
      <alignment vertical="center" wrapText="1"/>
    </xf>
    <xf numFmtId="0" fontId="6" fillId="2" borderId="0" xfId="0" applyFont="1" applyFill="1" applyAlignment="1">
      <alignment vertical="center" wrapText="1"/>
    </xf>
    <xf numFmtId="0" fontId="19" fillId="2" borderId="0" xfId="0" applyFont="1" applyFill="1"/>
    <xf numFmtId="0" fontId="5" fillId="2" borderId="55" xfId="0" applyFont="1" applyFill="1" applyBorder="1"/>
    <xf numFmtId="0" fontId="19" fillId="2" borderId="55" xfId="0" applyFont="1" applyFill="1" applyBorder="1"/>
    <xf numFmtId="0" fontId="19" fillId="2" borderId="56" xfId="0" applyFont="1" applyFill="1" applyBorder="1"/>
    <xf numFmtId="0" fontId="4" fillId="2" borderId="79" xfId="0" applyFont="1" applyFill="1" applyBorder="1" applyAlignment="1">
      <alignment horizontal="center" vertical="center" wrapText="1"/>
    </xf>
    <xf numFmtId="0" fontId="4" fillId="2" borderId="88" xfId="0" applyFont="1" applyFill="1" applyBorder="1" applyAlignment="1">
      <alignment horizontal="center" vertical="center" wrapText="1"/>
    </xf>
    <xf numFmtId="0" fontId="4" fillId="2" borderId="62" xfId="0" applyFont="1" applyFill="1" applyBorder="1" applyAlignment="1">
      <alignment horizontal="center" vertical="center" wrapText="1"/>
    </xf>
    <xf numFmtId="0" fontId="20" fillId="2" borderId="54" xfId="0" applyFont="1" applyFill="1" applyBorder="1" applyAlignment="1">
      <alignment wrapText="1"/>
    </xf>
    <xf numFmtId="0" fontId="13" fillId="2" borderId="56" xfId="0" applyFont="1" applyFill="1" applyBorder="1" applyAlignment="1">
      <alignment wrapText="1"/>
    </xf>
    <xf numFmtId="0" fontId="21" fillId="3" borderId="96" xfId="6" applyFont="1" applyFill="1" applyBorder="1" applyAlignment="1">
      <alignment horizontal="left" wrapText="1"/>
    </xf>
    <xf numFmtId="0" fontId="21" fillId="3" borderId="97" xfId="6" applyFont="1" applyFill="1" applyBorder="1" applyAlignment="1">
      <alignment horizontal="left" wrapText="1"/>
    </xf>
    <xf numFmtId="0" fontId="21" fillId="3" borderId="98" xfId="6" applyFont="1" applyFill="1" applyBorder="1" applyAlignment="1">
      <alignment horizontal="left" wrapText="1"/>
    </xf>
    <xf numFmtId="0" fontId="13" fillId="2" borderId="57" xfId="0" applyFont="1" applyFill="1" applyBorder="1" applyAlignment="1">
      <alignment wrapText="1"/>
    </xf>
    <xf numFmtId="0" fontId="22" fillId="2" borderId="42" xfId="0" applyFont="1" applyFill="1" applyBorder="1" applyAlignment="1">
      <alignment vertical="center" wrapText="1"/>
    </xf>
    <xf numFmtId="0" fontId="23" fillId="2" borderId="0" xfId="0" applyFont="1" applyFill="1" applyAlignment="1">
      <alignment vertical="center" wrapText="1"/>
    </xf>
    <xf numFmtId="0" fontId="19" fillId="2" borderId="57" xfId="0" applyFont="1" applyFill="1" applyBorder="1"/>
    <xf numFmtId="0" fontId="12" fillId="2" borderId="42" xfId="0" applyFont="1" applyFill="1" applyBorder="1" applyAlignment="1">
      <alignment vertical="center" wrapText="1"/>
    </xf>
    <xf numFmtId="0" fontId="24" fillId="2" borderId="42" xfId="0" applyFont="1" applyFill="1" applyBorder="1" applyAlignment="1">
      <alignment horizontal="left" vertical="center" wrapText="1"/>
    </xf>
    <xf numFmtId="0" fontId="24" fillId="2" borderId="0" xfId="0" applyFont="1" applyFill="1" applyAlignment="1">
      <alignment horizontal="left" vertical="center" wrapText="1"/>
    </xf>
    <xf numFmtId="0" fontId="19" fillId="2" borderId="57" xfId="0" applyFont="1" applyFill="1" applyBorder="1" applyAlignment="1">
      <alignment wrapText="1"/>
    </xf>
    <xf numFmtId="0" fontId="25" fillId="2" borderId="42" xfId="0" applyFont="1" applyFill="1" applyBorder="1"/>
    <xf numFmtId="0" fontId="19" fillId="2" borderId="42" xfId="0" applyFont="1" applyFill="1" applyBorder="1" applyAlignment="1">
      <alignment wrapText="1"/>
    </xf>
    <xf numFmtId="0" fontId="19" fillId="2" borderId="0" xfId="0" applyFont="1" applyFill="1" applyAlignment="1">
      <alignment wrapText="1"/>
    </xf>
    <xf numFmtId="0" fontId="13" fillId="2" borderId="42" xfId="0" applyFont="1" applyFill="1" applyBorder="1" applyAlignment="1">
      <alignment horizontal="left" wrapText="1"/>
    </xf>
    <xf numFmtId="0" fontId="20" fillId="2" borderId="0" xfId="0" applyFont="1" applyFill="1" applyAlignment="1">
      <alignment horizontal="left" wrapText="1"/>
    </xf>
    <xf numFmtId="0" fontId="26" fillId="2" borderId="42" xfId="0" applyFont="1" applyFill="1" applyBorder="1" applyAlignment="1">
      <alignment horizontal="left" wrapText="1"/>
    </xf>
    <xf numFmtId="0" fontId="25" fillId="2" borderId="0" xfId="0" applyFont="1" applyFill="1" applyAlignment="1">
      <alignment horizontal="left" wrapText="1"/>
    </xf>
    <xf numFmtId="0" fontId="20" fillId="2" borderId="42" xfId="0" applyFont="1" applyFill="1" applyBorder="1" applyAlignment="1">
      <alignment horizontal="left" wrapText="1"/>
    </xf>
    <xf numFmtId="0" fontId="20" fillId="2" borderId="57" xfId="0" applyFont="1" applyFill="1" applyBorder="1" applyAlignment="1">
      <alignment wrapText="1"/>
    </xf>
    <xf numFmtId="0" fontId="19" fillId="2" borderId="42" xfId="0" applyFont="1" applyFill="1" applyBorder="1" applyAlignment="1">
      <alignment horizontal="left" wrapText="1"/>
    </xf>
    <xf numFmtId="0" fontId="19" fillId="2" borderId="0" xfId="0" applyFont="1" applyFill="1" applyAlignment="1">
      <alignment horizontal="left" wrapText="1"/>
    </xf>
    <xf numFmtId="0" fontId="19" fillId="2" borderId="42" xfId="0" applyFont="1" applyFill="1" applyBorder="1"/>
    <xf numFmtId="0" fontId="12" fillId="2" borderId="42" xfId="0" applyFont="1" applyFill="1" applyBorder="1" applyAlignment="1">
      <alignment horizontal="left" wrapText="1"/>
    </xf>
    <xf numFmtId="0" fontId="19" fillId="2" borderId="99" xfId="0" applyFont="1" applyFill="1" applyBorder="1"/>
    <xf numFmtId="0" fontId="19" fillId="2" borderId="100" xfId="0" applyFont="1" applyFill="1" applyBorder="1"/>
    <xf numFmtId="0" fontId="19" fillId="2" borderId="100" xfId="0" applyFont="1" applyFill="1" applyBorder="1" applyAlignment="1">
      <alignment horizontal="center"/>
    </xf>
    <xf numFmtId="0" fontId="19" fillId="2" borderId="101" xfId="0" applyFont="1" applyFill="1" applyBorder="1" applyAlignment="1">
      <alignment horizontal="center"/>
    </xf>
    <xf numFmtId="0" fontId="19" fillId="2" borderId="102" xfId="0" applyFont="1" applyFill="1" applyBorder="1" applyAlignment="1">
      <alignment horizontal="center"/>
    </xf>
    <xf numFmtId="0" fontId="19" fillId="2" borderId="99" xfId="0" applyFont="1" applyFill="1" applyBorder="1" applyAlignment="1">
      <alignment wrapText="1"/>
    </xf>
    <xf numFmtId="0" fontId="27" fillId="2" borderId="42" xfId="0" applyFont="1" applyFill="1" applyBorder="1"/>
    <xf numFmtId="0" fontId="19" fillId="2" borderId="103" xfId="0" applyFont="1" applyFill="1" applyBorder="1" applyAlignment="1">
      <alignment horizontal="center" vertical="center"/>
    </xf>
    <xf numFmtId="0" fontId="19" fillId="2" borderId="100" xfId="0" applyFont="1" applyFill="1" applyBorder="1" applyAlignment="1">
      <alignment horizontal="center" wrapText="1"/>
    </xf>
    <xf numFmtId="0" fontId="19" fillId="2" borderId="101" xfId="0" applyFont="1" applyFill="1" applyBorder="1" applyAlignment="1">
      <alignment horizontal="center" wrapText="1"/>
    </xf>
    <xf numFmtId="0" fontId="19" fillId="2" borderId="102" xfId="0" applyFont="1" applyFill="1" applyBorder="1" applyAlignment="1">
      <alignment horizontal="center" wrapText="1"/>
    </xf>
    <xf numFmtId="0" fontId="19" fillId="2" borderId="104" xfId="0" applyFont="1" applyFill="1" applyBorder="1" applyAlignment="1">
      <alignment horizontal="center" vertical="center"/>
    </xf>
    <xf numFmtId="0" fontId="19" fillId="2" borderId="103" xfId="0" applyFont="1" applyFill="1" applyBorder="1" applyAlignment="1">
      <alignment horizontal="center"/>
    </xf>
    <xf numFmtId="0" fontId="19" fillId="2" borderId="100" xfId="0" applyFont="1" applyFill="1" applyBorder="1" applyAlignment="1">
      <alignment horizontal="left"/>
    </xf>
    <xf numFmtId="0" fontId="19" fillId="2" borderId="101" xfId="0" applyFont="1" applyFill="1" applyBorder="1" applyAlignment="1">
      <alignment horizontal="left"/>
    </xf>
    <xf numFmtId="0" fontId="19" fillId="2" borderId="102" xfId="0" applyFont="1" applyFill="1" applyBorder="1" applyAlignment="1">
      <alignment horizontal="left"/>
    </xf>
    <xf numFmtId="0" fontId="19" fillId="2" borderId="104" xfId="0" applyFont="1" applyFill="1" applyBorder="1" applyAlignment="1">
      <alignment horizontal="center"/>
    </xf>
    <xf numFmtId="0" fontId="19" fillId="2" borderId="99" xfId="0" applyFont="1" applyFill="1" applyBorder="1" applyAlignment="1">
      <alignment horizontal="left"/>
    </xf>
    <xf numFmtId="0" fontId="19" fillId="2" borderId="99" xfId="0" applyFont="1" applyFill="1" applyBorder="1" applyAlignment="1">
      <alignment horizontal="center"/>
    </xf>
    <xf numFmtId="0" fontId="12" fillId="2" borderId="42" xfId="0" applyFont="1" applyFill="1" applyBorder="1" applyAlignment="1">
      <alignment wrapText="1"/>
    </xf>
    <xf numFmtId="0" fontId="28" fillId="2" borderId="42" xfId="0" applyFont="1" applyFill="1" applyBorder="1"/>
    <xf numFmtId="0" fontId="28" fillId="2" borderId="103" xfId="0" applyFont="1" applyFill="1" applyBorder="1" applyAlignment="1">
      <alignment horizontal="center"/>
    </xf>
    <xf numFmtId="0" fontId="28" fillId="2" borderId="104" xfId="0" applyFont="1" applyFill="1" applyBorder="1" applyAlignment="1">
      <alignment horizontal="center"/>
    </xf>
    <xf numFmtId="0" fontId="28" fillId="2" borderId="0" xfId="0" applyFont="1" applyFill="1" applyAlignment="1">
      <alignment wrapText="1"/>
    </xf>
    <xf numFmtId="0" fontId="28" fillId="2" borderId="42" xfId="0" applyFont="1" applyFill="1" applyBorder="1" applyAlignment="1">
      <alignment horizontal="left" wrapText="1"/>
    </xf>
    <xf numFmtId="0" fontId="28" fillId="2" borderId="0" xfId="0" applyFont="1" applyFill="1" applyAlignment="1">
      <alignment horizontal="left" wrapText="1"/>
    </xf>
    <xf numFmtId="0" fontId="19" fillId="2" borderId="100" xfId="0" applyFont="1" applyFill="1" applyBorder="1" applyAlignment="1">
      <alignment wrapText="1"/>
    </xf>
    <xf numFmtId="0" fontId="13" fillId="2" borderId="42" xfId="0" applyFont="1" applyFill="1" applyBorder="1" applyAlignment="1">
      <alignment horizontal="left"/>
    </xf>
    <xf numFmtId="0" fontId="19" fillId="2" borderId="0" xfId="0" applyFont="1" applyFill="1" applyAlignment="1">
      <alignment horizontal="left"/>
    </xf>
    <xf numFmtId="0" fontId="19" fillId="2" borderId="103" xfId="0" applyFont="1" applyFill="1" applyBorder="1" applyAlignment="1">
      <alignment horizontal="left"/>
    </xf>
    <xf numFmtId="0" fontId="19" fillId="2" borderId="105" xfId="0" applyFont="1" applyFill="1" applyBorder="1" applyAlignment="1">
      <alignment horizontal="left"/>
    </xf>
    <xf numFmtId="0" fontId="19" fillId="2" borderId="106" xfId="0" applyFont="1" applyFill="1" applyBorder="1" applyAlignment="1">
      <alignment horizontal="center"/>
    </xf>
    <xf numFmtId="0" fontId="19" fillId="2" borderId="104" xfId="0" applyFont="1" applyFill="1" applyBorder="1" applyAlignment="1">
      <alignment horizontal="left"/>
    </xf>
    <xf numFmtId="0" fontId="19" fillId="2" borderId="107" xfId="0" applyFont="1" applyFill="1" applyBorder="1" applyAlignment="1">
      <alignment horizontal="left"/>
    </xf>
    <xf numFmtId="0" fontId="29" fillId="2" borderId="42" xfId="0" applyFont="1" applyFill="1" applyBorder="1"/>
    <xf numFmtId="0" fontId="13" fillId="2" borderId="0" xfId="0" applyFont="1" applyFill="1" applyAlignment="1">
      <alignment horizontal="left"/>
    </xf>
    <xf numFmtId="0" fontId="13" fillId="2" borderId="108" xfId="0" applyFont="1" applyFill="1" applyBorder="1" applyAlignment="1">
      <alignment horizontal="left" wrapText="1"/>
    </xf>
    <xf numFmtId="0" fontId="13" fillId="2" borderId="11" xfId="0" applyFont="1" applyFill="1" applyBorder="1" applyAlignment="1">
      <alignment horizontal="left" wrapText="1"/>
    </xf>
    <xf numFmtId="0" fontId="12" fillId="0" borderId="42" xfId="0" applyFont="1" applyBorder="1" applyAlignment="1">
      <alignment horizontal="left" vertical="center"/>
    </xf>
    <xf numFmtId="0" fontId="19" fillId="2" borderId="99" xfId="0" applyFont="1" applyFill="1" applyBorder="1" applyAlignment="1">
      <alignment horizontal="left" vertical="center" wrapText="1"/>
    </xf>
    <xf numFmtId="0" fontId="19" fillId="2" borderId="100" xfId="0" applyFont="1" applyFill="1" applyBorder="1" applyAlignment="1">
      <alignment horizontal="left" vertical="center" wrapText="1"/>
    </xf>
    <xf numFmtId="0" fontId="19" fillId="2" borderId="0" xfId="0" applyFont="1" applyFill="1" applyAlignment="1">
      <alignment horizontal="left" vertical="center" wrapText="1"/>
    </xf>
    <xf numFmtId="0" fontId="12" fillId="2" borderId="42" xfId="0" applyFont="1" applyFill="1" applyBorder="1" applyAlignment="1">
      <alignment horizontal="left" vertical="top" wrapText="1"/>
    </xf>
    <xf numFmtId="0" fontId="19" fillId="2" borderId="0" xfId="0" applyFont="1" applyFill="1" applyAlignment="1">
      <alignment horizontal="left" vertical="top" wrapText="1"/>
    </xf>
    <xf numFmtId="0" fontId="19" fillId="2" borderId="99" xfId="0" applyFont="1" applyFill="1" applyBorder="1" applyAlignment="1">
      <alignment horizontal="left" wrapText="1"/>
    </xf>
    <xf numFmtId="0" fontId="19" fillId="2" borderId="100" xfId="0" applyFont="1" applyFill="1" applyBorder="1" applyAlignment="1">
      <alignment horizontal="left" wrapText="1"/>
    </xf>
    <xf numFmtId="0" fontId="19" fillId="2" borderId="57" xfId="0" applyFont="1" applyFill="1" applyBorder="1" applyAlignment="1">
      <alignment vertical="center" wrapText="1"/>
    </xf>
    <xf numFmtId="0" fontId="20" fillId="2" borderId="42" xfId="0" applyFont="1" applyFill="1" applyBorder="1"/>
    <xf numFmtId="0" fontId="19" fillId="2" borderId="42" xfId="0" applyFont="1" applyFill="1" applyBorder="1" applyAlignment="1">
      <alignment horizontal="left"/>
    </xf>
    <xf numFmtId="0" fontId="19" fillId="2" borderId="108" xfId="0" applyFont="1" applyFill="1" applyBorder="1" applyAlignment="1">
      <alignment horizontal="left" wrapText="1"/>
    </xf>
    <xf numFmtId="0" fontId="19" fillId="2" borderId="11" xfId="0" applyFont="1" applyFill="1" applyBorder="1" applyAlignment="1">
      <alignment horizontal="left" wrapText="1"/>
    </xf>
    <xf numFmtId="0" fontId="19" fillId="2" borderId="104" xfId="0" applyFont="1" applyFill="1" applyBorder="1"/>
    <xf numFmtId="0" fontId="19" fillId="2" borderId="107" xfId="0" applyFont="1" applyFill="1" applyBorder="1"/>
    <xf numFmtId="0" fontId="19" fillId="2" borderId="103" xfId="0" applyFont="1" applyFill="1" applyBorder="1"/>
    <xf numFmtId="0" fontId="19" fillId="2" borderId="105" xfId="0" applyFont="1" applyFill="1" applyBorder="1"/>
    <xf numFmtId="0" fontId="19" fillId="2" borderId="79" xfId="0" applyFont="1" applyFill="1" applyBorder="1"/>
    <xf numFmtId="0" fontId="19" fillId="2" borderId="88" xfId="0" applyFont="1" applyFill="1" applyBorder="1"/>
    <xf numFmtId="0" fontId="19" fillId="2" borderId="62" xfId="0" applyFont="1" applyFill="1" applyBorder="1"/>
    <xf numFmtId="0" fontId="8" fillId="2" borderId="1" xfId="0" applyFont="1" applyFill="1" applyBorder="1" applyAlignment="1">
      <alignment horizontal="left" indent="1"/>
    </xf>
    <xf numFmtId="0" fontId="4" fillId="2" borderId="2" xfId="0" applyFont="1" applyFill="1" applyBorder="1" applyAlignment="1">
      <alignment horizontal="left" indent="1"/>
    </xf>
    <xf numFmtId="0" fontId="4" fillId="2" borderId="3" xfId="0" applyFont="1" applyFill="1" applyBorder="1"/>
    <xf numFmtId="0" fontId="4" fillId="2" borderId="4" xfId="0" applyFont="1" applyFill="1" applyBorder="1" applyAlignment="1">
      <alignment horizontal="center"/>
    </xf>
    <xf numFmtId="0" fontId="4" fillId="2" borderId="109" xfId="0" applyFont="1" applyFill="1" applyBorder="1" applyAlignment="1">
      <alignment horizontal="center" vertical="center"/>
    </xf>
    <xf numFmtId="0" fontId="5" fillId="2" borderId="73" xfId="0" applyFont="1" applyFill="1" applyBorder="1"/>
    <xf numFmtId="0" fontId="5" fillId="2" borderId="59" xfId="0" applyFont="1" applyFill="1" applyBorder="1"/>
    <xf numFmtId="0" fontId="4" fillId="2" borderId="110" xfId="0" applyFont="1" applyFill="1" applyBorder="1" applyAlignment="1">
      <alignment horizontal="center" vertical="center"/>
    </xf>
    <xf numFmtId="0" fontId="4" fillId="2" borderId="111" xfId="0" applyFont="1" applyFill="1" applyBorder="1" applyAlignment="1">
      <alignment horizontal="center" vertical="center"/>
    </xf>
    <xf numFmtId="0" fontId="4" fillId="2" borderId="4" xfId="0" applyFont="1" applyFill="1" applyBorder="1" applyAlignment="1">
      <alignment vertical="center"/>
    </xf>
    <xf numFmtId="0" fontId="4" fillId="2" borderId="42" xfId="0" applyFont="1" applyFill="1" applyBorder="1" applyAlignment="1">
      <alignment vertical="center"/>
    </xf>
    <xf numFmtId="0" fontId="5" fillId="2" borderId="112" xfId="0" applyFont="1" applyFill="1" applyBorder="1"/>
    <xf numFmtId="0" fontId="5" fillId="2" borderId="4" xfId="0" applyFont="1" applyFill="1" applyBorder="1" applyAlignment="1">
      <alignment horizontal="left" vertical="center" indent="1"/>
    </xf>
    <xf numFmtId="0" fontId="5" fillId="2" borderId="46" xfId="0" applyFont="1" applyFill="1" applyBorder="1" applyAlignment="1">
      <alignment horizontal="center" vertical="center"/>
    </xf>
    <xf numFmtId="43" fontId="5" fillId="2" borderId="46" xfId="36" applyNumberFormat="1" applyFont="1" applyFill="1" applyBorder="1"/>
    <xf numFmtId="43" fontId="5" fillId="2" borderId="91" xfId="36" applyNumberFormat="1" applyFont="1" applyFill="1" applyBorder="1"/>
    <xf numFmtId="0" fontId="5" fillId="2" borderId="42" xfId="0" applyFont="1" applyFill="1" applyBorder="1" applyAlignment="1">
      <alignment horizontal="left" vertical="center" indent="1"/>
    </xf>
    <xf numFmtId="43" fontId="5" fillId="2" borderId="35" xfId="1" applyFont="1" applyFill="1" applyBorder="1"/>
    <xf numFmtId="43" fontId="5" fillId="2" borderId="113" xfId="1" applyFont="1" applyFill="1" applyBorder="1"/>
    <xf numFmtId="43" fontId="5" fillId="2" borderId="60" xfId="36" applyNumberFormat="1" applyFont="1" applyFill="1" applyBorder="1"/>
    <xf numFmtId="43" fontId="5" fillId="2" borderId="114" xfId="36" applyNumberFormat="1" applyFont="1" applyFill="1" applyBorder="1"/>
    <xf numFmtId="0" fontId="4" fillId="2" borderId="27" xfId="0" applyFont="1" applyFill="1" applyBorder="1" applyAlignment="1">
      <alignment horizontal="left" vertical="center"/>
    </xf>
    <xf numFmtId="43" fontId="4" fillId="2" borderId="39" xfId="0" applyNumberFormat="1" applyFont="1" applyFill="1" applyBorder="1" applyAlignment="1">
      <alignment horizontal="right"/>
    </xf>
    <xf numFmtId="43" fontId="4" fillId="2" borderId="25" xfId="0" applyNumberFormat="1" applyFont="1" applyFill="1" applyBorder="1" applyAlignment="1">
      <alignment horizontal="right"/>
    </xf>
    <xf numFmtId="0" fontId="4" fillId="2" borderId="42" xfId="0" applyFont="1" applyFill="1" applyBorder="1"/>
    <xf numFmtId="43" fontId="5" fillId="2" borderId="46" xfId="0" applyNumberFormat="1" applyFont="1" applyFill="1" applyBorder="1" applyAlignment="1">
      <alignment horizontal="right"/>
    </xf>
    <xf numFmtId="43" fontId="5" fillId="2" borderId="91" xfId="0" applyNumberFormat="1" applyFont="1" applyFill="1" applyBorder="1" applyAlignment="1">
      <alignment horizontal="right"/>
    </xf>
    <xf numFmtId="0" fontId="4" fillId="2" borderId="115" xfId="0" applyFont="1" applyFill="1" applyBorder="1" applyAlignment="1">
      <alignment horizontal="left" vertical="center"/>
    </xf>
    <xf numFmtId="0" fontId="4" fillId="2" borderId="116" xfId="0" applyFont="1" applyFill="1" applyBorder="1" applyAlignment="1">
      <alignment horizontal="left" vertical="center" indent="1"/>
    </xf>
    <xf numFmtId="43" fontId="4" fillId="2" borderId="117" xfId="0" applyNumberFormat="1" applyFont="1" applyFill="1" applyBorder="1" applyAlignment="1">
      <alignment horizontal="right"/>
    </xf>
    <xf numFmtId="43" fontId="4" fillId="2" borderId="18" xfId="0" applyNumberFormat="1" applyFont="1" applyFill="1" applyBorder="1" applyAlignment="1">
      <alignment horizontal="right"/>
    </xf>
    <xf numFmtId="0" fontId="2" fillId="0" borderId="54" xfId="0" applyFont="1" applyBorder="1" applyAlignment="1">
      <alignment horizontal="left" vertical="center" wrapText="1"/>
    </xf>
    <xf numFmtId="0" fontId="4" fillId="0" borderId="56" xfId="0" applyFont="1" applyBorder="1"/>
    <xf numFmtId="0" fontId="4" fillId="0" borderId="79" xfId="0" applyFont="1" applyBorder="1" applyAlignment="1">
      <alignment horizontal="center" vertical="center" wrapText="1"/>
    </xf>
    <xf numFmtId="0" fontId="5" fillId="0" borderId="42" xfId="0" applyFont="1" applyBorder="1" applyAlignment="1">
      <alignment vertical="center" wrapText="1"/>
    </xf>
    <xf numFmtId="0" fontId="5" fillId="0" borderId="1" xfId="0" applyFont="1" applyBorder="1" applyAlignment="1">
      <alignment horizontal="center"/>
    </xf>
    <xf numFmtId="58" fontId="30" fillId="0" borderId="33" xfId="0" applyNumberFormat="1" applyFont="1" applyBorder="1" applyAlignment="1">
      <alignment horizontal="center" vertical="center"/>
    </xf>
    <xf numFmtId="0" fontId="30" fillId="0" borderId="34" xfId="0" applyFont="1" applyBorder="1" applyAlignment="1">
      <alignment horizontal="center" vertical="center"/>
    </xf>
    <xf numFmtId="0" fontId="3" fillId="0" borderId="42" xfId="0" applyFont="1" applyBorder="1" applyAlignment="1">
      <alignment vertical="center" wrapText="1"/>
    </xf>
    <xf numFmtId="0" fontId="5" fillId="0" borderId="4" xfId="0" applyFont="1" applyBorder="1" applyAlignment="1">
      <alignment horizontal="center"/>
    </xf>
    <xf numFmtId="0" fontId="12" fillId="0" borderId="15" xfId="0" applyFont="1" applyBorder="1"/>
    <xf numFmtId="0" fontId="12" fillId="0" borderId="5" xfId="0" applyFont="1" applyBorder="1"/>
    <xf numFmtId="0" fontId="5" fillId="0" borderId="42" xfId="0" applyFont="1" applyBorder="1" applyAlignment="1">
      <alignment horizontal="left" vertical="center" wrapText="1"/>
    </xf>
    <xf numFmtId="43" fontId="12" fillId="0" borderId="15" xfId="36" applyNumberFormat="1" applyFont="1" applyFill="1" applyBorder="1" applyAlignment="1"/>
    <xf numFmtId="43" fontId="12" fillId="0" borderId="5" xfId="36" applyNumberFormat="1" applyFont="1" applyFill="1" applyBorder="1" applyAlignment="1">
      <alignment horizontal="right"/>
    </xf>
    <xf numFmtId="0" fontId="12" fillId="0" borderId="4" xfId="0" applyFont="1" applyBorder="1" applyAlignment="1">
      <alignment horizontal="center" vertical="center"/>
    </xf>
    <xf numFmtId="43" fontId="12" fillId="0" borderId="118" xfId="36" applyNumberFormat="1" applyFont="1" applyFill="1" applyBorder="1" applyAlignment="1"/>
    <xf numFmtId="43" fontId="12" fillId="0" borderId="119" xfId="36" applyNumberFormat="1" applyFont="1" applyFill="1" applyBorder="1" applyAlignment="1"/>
    <xf numFmtId="43" fontId="13" fillId="0" borderId="120" xfId="1" applyFont="1" applyFill="1" applyBorder="1" applyAlignment="1"/>
    <xf numFmtId="43" fontId="13" fillId="0" borderId="72" xfId="1" applyFont="1" applyFill="1" applyBorder="1" applyAlignment="1"/>
    <xf numFmtId="43" fontId="12" fillId="0" borderId="83" xfId="36" applyNumberFormat="1" applyFont="1" applyFill="1" applyBorder="1" applyAlignment="1"/>
    <xf numFmtId="43" fontId="12" fillId="0" borderId="121" xfId="36" applyNumberFormat="1" applyFont="1" applyFill="1" applyBorder="1" applyAlignment="1"/>
    <xf numFmtId="0" fontId="3" fillId="0" borderId="61" xfId="0" applyFont="1" applyBorder="1" applyAlignment="1">
      <alignment horizontal="left" vertical="center" wrapText="1"/>
    </xf>
    <xf numFmtId="0" fontId="12" fillId="0" borderId="122" xfId="0" applyFont="1" applyBorder="1" applyAlignment="1">
      <alignment horizontal="center" vertical="center"/>
    </xf>
    <xf numFmtId="43" fontId="13" fillId="0" borderId="26" xfId="0" applyNumberFormat="1" applyFont="1" applyBorder="1"/>
    <xf numFmtId="43" fontId="13" fillId="0" borderId="123" xfId="0" applyNumberFormat="1" applyFont="1" applyBorder="1"/>
    <xf numFmtId="0" fontId="12" fillId="0" borderId="4" xfId="0" applyFont="1" applyBorder="1" applyAlignment="1">
      <alignment horizontal="center"/>
    </xf>
    <xf numFmtId="43" fontId="12" fillId="0" borderId="81" xfId="0" applyNumberFormat="1" applyFont="1" applyBorder="1"/>
    <xf numFmtId="43" fontId="12" fillId="0" borderId="80" xfId="1" applyFont="1" applyFill="1" applyBorder="1"/>
    <xf numFmtId="0" fontId="4" fillId="0" borderId="42" xfId="0" applyFont="1" applyBorder="1" applyAlignment="1">
      <alignment horizontal="left" vertical="center" wrapText="1"/>
    </xf>
    <xf numFmtId="43" fontId="12" fillId="0" borderId="15" xfId="0" applyNumberFormat="1" applyFont="1" applyBorder="1"/>
    <xf numFmtId="43" fontId="12" fillId="0" borderId="5" xfId="1" applyFont="1" applyFill="1" applyBorder="1"/>
    <xf numFmtId="43" fontId="12" fillId="0" borderId="5" xfId="36" applyNumberFormat="1" applyFont="1" applyFill="1" applyBorder="1" applyAlignment="1"/>
    <xf numFmtId="43" fontId="13" fillId="0" borderId="15" xfId="0" applyNumberFormat="1" applyFont="1" applyBorder="1"/>
    <xf numFmtId="43" fontId="13" fillId="0" borderId="5" xfId="0" applyNumberFormat="1" applyFont="1" applyBorder="1"/>
    <xf numFmtId="0" fontId="13" fillId="0" borderId="0" xfId="0" applyFont="1"/>
    <xf numFmtId="0" fontId="12" fillId="0" borderId="19" xfId="0" applyFont="1" applyBorder="1" applyAlignment="1">
      <alignment horizontal="center" vertical="center"/>
    </xf>
    <xf numFmtId="43" fontId="13" fillId="0" borderId="124" xfId="0" applyNumberFormat="1" applyFont="1" applyBorder="1"/>
    <xf numFmtId="43" fontId="13" fillId="0" borderId="125" xfId="0" applyNumberFormat="1" applyFont="1" applyBorder="1"/>
    <xf numFmtId="0" fontId="12" fillId="0" borderId="0" xfId="0" applyFont="1" applyAlignment="1">
      <alignment vertical="center" wrapText="1"/>
    </xf>
    <xf numFmtId="0" fontId="5" fillId="0" borderId="0" xfId="0" applyFont="1" applyAlignment="1">
      <alignment horizontal="center"/>
    </xf>
    <xf numFmtId="0" fontId="6"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2" xfId="0" applyFont="1" applyBorder="1" applyAlignment="1">
      <alignment horizontal="left" indent="1"/>
    </xf>
    <xf numFmtId="0" fontId="4" fillId="0" borderId="2" xfId="0" applyFont="1" applyBorder="1"/>
    <xf numFmtId="0" fontId="4" fillId="0" borderId="3" xfId="0" applyFont="1" applyBorder="1"/>
    <xf numFmtId="0" fontId="4" fillId="0" borderId="109" xfId="0" applyFont="1" applyBorder="1" applyAlignment="1">
      <alignment horizontal="center" vertical="center" wrapText="1"/>
    </xf>
    <xf numFmtId="0" fontId="5" fillId="0" borderId="73" xfId="0" applyFont="1" applyBorder="1" applyAlignment="1">
      <alignment vertical="center" wrapText="1"/>
    </xf>
    <xf numFmtId="0" fontId="5" fillId="0" borderId="1" xfId="0" applyFont="1" applyBorder="1"/>
    <xf numFmtId="0" fontId="30" fillId="0" borderId="126" xfId="0" applyFont="1" applyBorder="1" applyAlignment="1">
      <alignment horizontal="center" vertical="center"/>
    </xf>
    <xf numFmtId="0" fontId="30" fillId="0" borderId="127"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vertical="center"/>
    </xf>
    <xf numFmtId="0" fontId="12" fillId="0" borderId="82" xfId="0" applyFont="1" applyBorder="1"/>
    <xf numFmtId="0" fontId="12" fillId="0" borderId="81" xfId="0" applyFont="1" applyBorder="1"/>
    <xf numFmtId="0" fontId="5" fillId="0" borderId="4" xfId="0" applyFont="1" applyBorder="1" applyAlignment="1">
      <alignment horizontal="left" vertical="center" wrapText="1"/>
    </xf>
    <xf numFmtId="0" fontId="5" fillId="0" borderId="4" xfId="0" applyFont="1" applyBorder="1" applyAlignment="1">
      <alignment horizontal="left" vertical="center" indent="1"/>
    </xf>
    <xf numFmtId="43" fontId="12" fillId="0" borderId="4" xfId="36" applyNumberFormat="1" applyFont="1" applyFill="1" applyBorder="1"/>
    <xf numFmtId="43" fontId="12" fillId="0" borderId="15" xfId="36" applyNumberFormat="1" applyFont="1" applyFill="1" applyBorder="1"/>
    <xf numFmtId="43" fontId="12" fillId="0" borderId="73" xfId="1" applyFont="1" applyFill="1" applyBorder="1"/>
    <xf numFmtId="43" fontId="12" fillId="0" borderId="120" xfId="1" applyFont="1" applyFill="1" applyBorder="1"/>
    <xf numFmtId="43" fontId="12" fillId="0" borderId="128" xfId="36" applyNumberFormat="1" applyFont="1" applyFill="1" applyBorder="1"/>
    <xf numFmtId="43" fontId="12" fillId="0" borderId="83" xfId="36" applyNumberFormat="1" applyFont="1" applyFill="1" applyBorder="1"/>
    <xf numFmtId="0" fontId="3" fillId="0" borderId="122" xfId="0" applyFont="1" applyBorder="1" applyAlignment="1">
      <alignment horizontal="left" vertical="center" wrapText="1"/>
    </xf>
    <xf numFmtId="43" fontId="13" fillId="0" borderId="122" xfId="0" applyNumberFormat="1" applyFont="1" applyBorder="1" applyAlignment="1">
      <alignment horizontal="right"/>
    </xf>
    <xf numFmtId="43" fontId="13" fillId="0" borderId="26" xfId="0" applyNumberFormat="1" applyFont="1" applyBorder="1" applyAlignment="1">
      <alignment horizontal="right"/>
    </xf>
    <xf numFmtId="0" fontId="3" fillId="0" borderId="4" xfId="0" applyFont="1" applyBorder="1"/>
    <xf numFmtId="43" fontId="12" fillId="0" borderId="4" xfId="0" applyNumberFormat="1" applyFont="1" applyBorder="1" applyAlignment="1">
      <alignment horizontal="right"/>
    </xf>
    <xf numFmtId="43" fontId="12" fillId="0" borderId="15" xfId="0" applyNumberFormat="1" applyFont="1" applyBorder="1" applyAlignment="1">
      <alignment horizontal="right"/>
    </xf>
    <xf numFmtId="0" fontId="4" fillId="0" borderId="4" xfId="0" applyFont="1" applyBorder="1" applyAlignment="1">
      <alignment horizontal="left" vertical="center" wrapText="1"/>
    </xf>
    <xf numFmtId="0" fontId="4" fillId="0" borderId="4" xfId="0" applyFont="1" applyBorder="1" applyAlignment="1">
      <alignment horizontal="left"/>
    </xf>
    <xf numFmtId="0" fontId="5" fillId="0" borderId="4" xfId="0" applyFont="1" applyBorder="1" applyAlignment="1">
      <alignment vertical="center" wrapText="1"/>
    </xf>
    <xf numFmtId="0" fontId="31" fillId="0" borderId="4" xfId="0" applyFont="1" applyBorder="1" applyAlignment="1">
      <alignment horizontal="left" vertical="center" wrapText="1"/>
    </xf>
    <xf numFmtId="0" fontId="31" fillId="0" borderId="4" xfId="0" applyFont="1" applyBorder="1" applyAlignment="1">
      <alignment horizontal="left" indent="1"/>
    </xf>
    <xf numFmtId="43" fontId="12" fillId="0" borderId="4" xfId="1" applyFont="1" applyFill="1" applyBorder="1"/>
    <xf numFmtId="43" fontId="12" fillId="0" borderId="15" xfId="1" applyFont="1" applyFill="1" applyBorder="1"/>
    <xf numFmtId="0" fontId="32" fillId="0" borderId="4" xfId="0" applyFont="1" applyBorder="1" applyAlignment="1">
      <alignment horizontal="left" vertical="center" wrapText="1"/>
    </xf>
    <xf numFmtId="0" fontId="5" fillId="0" borderId="15" xfId="0" applyFont="1" applyBorder="1"/>
    <xf numFmtId="0" fontId="32" fillId="0" borderId="122" xfId="0" applyFont="1" applyBorder="1" applyAlignment="1">
      <alignment horizontal="left" vertical="center" wrapText="1"/>
    </xf>
    <xf numFmtId="0" fontId="32" fillId="0" borderId="122" xfId="0" applyFont="1" applyBorder="1" applyAlignment="1">
      <alignment horizontal="left" indent="1"/>
    </xf>
    <xf numFmtId="43" fontId="12" fillId="0" borderId="122" xfId="1" applyFont="1" applyFill="1" applyBorder="1"/>
    <xf numFmtId="43" fontId="12" fillId="0" borderId="26" xfId="1" applyFont="1" applyFill="1" applyBorder="1"/>
    <xf numFmtId="0" fontId="3" fillId="0" borderId="19" xfId="0" applyFont="1" applyBorder="1" applyAlignment="1">
      <alignment horizontal="left" vertical="center" wrapText="1"/>
    </xf>
    <xf numFmtId="0" fontId="3" fillId="0" borderId="19" xfId="0" applyFont="1" applyBorder="1" applyAlignment="1">
      <alignment horizontal="left" vertical="center"/>
    </xf>
    <xf numFmtId="43" fontId="13" fillId="0" borderId="19" xfId="0" applyNumberFormat="1" applyFont="1" applyBorder="1" applyAlignment="1">
      <alignment horizontal="right"/>
    </xf>
    <xf numFmtId="43" fontId="13" fillId="0" borderId="124" xfId="0" applyNumberFormat="1" applyFont="1" applyBorder="1" applyAlignment="1">
      <alignment horizontal="right"/>
    </xf>
    <xf numFmtId="0" fontId="8" fillId="0" borderId="0" xfId="0" applyFont="1" applyAlignment="1">
      <alignment horizontal="center"/>
    </xf>
    <xf numFmtId="0" fontId="5" fillId="0" borderId="0" xfId="0" applyFont="1" applyAlignment="1">
      <alignment horizontal="left" indent="1"/>
    </xf>
    <xf numFmtId="0" fontId="1" fillId="0" borderId="0" xfId="0" applyFont="1" applyAlignment="1">
      <alignment vertical="center"/>
    </xf>
    <xf numFmtId="0" fontId="14" fillId="0" borderId="0" xfId="0" applyFont="1" applyAlignment="1">
      <alignment vertical="center"/>
    </xf>
    <xf numFmtId="0" fontId="3" fillId="0" borderId="2" xfId="0" applyFont="1" applyBorder="1" applyAlignment="1">
      <alignment horizontal="left" vertical="center"/>
    </xf>
    <xf numFmtId="0" fontId="1" fillId="0" borderId="2" xfId="0" applyFont="1" applyBorder="1" applyAlignment="1">
      <alignment vertical="center"/>
    </xf>
    <xf numFmtId="0" fontId="1" fillId="0" borderId="3" xfId="0" applyFont="1" applyBorder="1" applyAlignment="1">
      <alignment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14" fillId="0" borderId="54" xfId="0" applyFont="1" applyBorder="1" applyAlignment="1">
      <alignment horizontal="center" vertical="center"/>
    </xf>
    <xf numFmtId="0" fontId="14" fillId="0" borderId="56" xfId="0" applyFont="1" applyBorder="1" applyAlignment="1">
      <alignment horizontal="center" vertical="center"/>
    </xf>
    <xf numFmtId="0" fontId="4" fillId="0" borderId="59" xfId="0" applyFont="1" applyBorder="1" applyAlignment="1">
      <alignment horizontal="center" vertical="center"/>
    </xf>
    <xf numFmtId="0" fontId="13" fillId="0" borderId="61" xfId="0" applyFont="1" applyBorder="1" applyAlignment="1">
      <alignment horizontal="center" vertical="center" wrapText="1"/>
    </xf>
    <xf numFmtId="0" fontId="13" fillId="0" borderId="63" xfId="0" applyFont="1" applyBorder="1" applyAlignment="1">
      <alignment horizontal="center" vertical="center" wrapText="1"/>
    </xf>
    <xf numFmtId="0" fontId="5" fillId="0" borderId="79" xfId="0" applyFont="1" applyBorder="1" applyAlignment="1">
      <alignment horizontal="center" vertical="center"/>
    </xf>
    <xf numFmtId="0" fontId="5" fillId="0" borderId="62" xfId="0" applyFont="1" applyBorder="1" applyAlignment="1">
      <alignment horizontal="center" vertical="center"/>
    </xf>
    <xf numFmtId="0" fontId="13" fillId="0" borderId="59" xfId="0" applyFont="1" applyBorder="1" applyAlignment="1">
      <alignment vertical="center" wrapText="1"/>
    </xf>
    <xf numFmtId="0" fontId="5" fillId="0" borderId="0" xfId="0" applyFont="1" applyAlignment="1">
      <alignment horizontal="left" vertical="center"/>
    </xf>
    <xf numFmtId="178" fontId="5" fillId="0" borderId="59" xfId="0" applyNumberFormat="1" applyFont="1" applyBorder="1" applyAlignment="1">
      <alignment horizontal="right"/>
    </xf>
    <xf numFmtId="0" fontId="5" fillId="0" borderId="4" xfId="0" applyFont="1" applyBorder="1" applyAlignment="1">
      <alignment indent="1"/>
    </xf>
    <xf numFmtId="178" fontId="5" fillId="0" borderId="46" xfId="0" applyNumberFormat="1" applyFont="1" applyBorder="1" applyAlignment="1">
      <alignment horizontal="right"/>
    </xf>
    <xf numFmtId="0" fontId="5" fillId="0" borderId="61" xfId="0" applyFont="1" applyBorder="1" applyAlignment="1">
      <alignment indent="1"/>
    </xf>
    <xf numFmtId="0" fontId="5" fillId="0" borderId="64" xfId="0" applyFont="1" applyBorder="1"/>
    <xf numFmtId="178" fontId="5" fillId="0" borderId="39" xfId="0" applyNumberFormat="1" applyFont="1" applyBorder="1" applyAlignment="1">
      <alignment horizontal="right"/>
    </xf>
    <xf numFmtId="0" fontId="5" fillId="0" borderId="46" xfId="0" applyFont="1" applyBorder="1"/>
    <xf numFmtId="178" fontId="17" fillId="0" borderId="64" xfId="0" applyNumberFormat="1" applyFont="1" applyBorder="1" applyAlignment="1">
      <alignment vertical="center"/>
    </xf>
    <xf numFmtId="0" fontId="12" fillId="0" borderId="4" xfId="0" applyFont="1" applyBorder="1"/>
    <xf numFmtId="0" fontId="1" fillId="0" borderId="2" xfId="0" applyFont="1" applyBorder="1"/>
    <xf numFmtId="0" fontId="1" fillId="0" borderId="3" xfId="0" applyFont="1" applyBorder="1"/>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4" fillId="0" borderId="4" xfId="0" applyFont="1" applyBorder="1" applyAlignment="1">
      <alignment horizontal="center"/>
    </xf>
    <xf numFmtId="0" fontId="14" fillId="0" borderId="57" xfId="0" applyFont="1" applyBorder="1" applyAlignment="1">
      <alignment horizontal="center"/>
    </xf>
    <xf numFmtId="0" fontId="4" fillId="0" borderId="79" xfId="0" applyFont="1" applyBorder="1" applyAlignment="1">
      <alignment horizontal="center" vertical="center"/>
    </xf>
    <xf numFmtId="0" fontId="4" fillId="0" borderId="88" xfId="0" applyFont="1" applyBorder="1" applyAlignment="1">
      <alignment horizontal="center" vertical="center"/>
    </xf>
    <xf numFmtId="0" fontId="4" fillId="0" borderId="62" xfId="0" applyFont="1" applyBorder="1" applyAlignment="1">
      <alignment horizontal="center" vertical="center"/>
    </xf>
    <xf numFmtId="0" fontId="4" fillId="0" borderId="4" xfId="0" applyFont="1" applyBorder="1" applyAlignment="1">
      <alignment horizontal="center"/>
    </xf>
    <xf numFmtId="0" fontId="4" fillId="0" borderId="57" xfId="0" applyFont="1" applyBorder="1" applyAlignment="1">
      <alignment horizontal="center"/>
    </xf>
    <xf numFmtId="0" fontId="13" fillId="0" borderId="61" xfId="0" applyFont="1" applyBorder="1" applyAlignment="1">
      <alignment horizontal="center"/>
    </xf>
    <xf numFmtId="0" fontId="13" fillId="0" borderId="64" xfId="0" applyFont="1" applyBorder="1" applyAlignment="1">
      <alignment horizontal="center"/>
    </xf>
    <xf numFmtId="0" fontId="13" fillId="0" borderId="63" xfId="0" applyFont="1" applyBorder="1" applyAlignment="1">
      <alignment horizontal="center"/>
    </xf>
    <xf numFmtId="0" fontId="4" fillId="0" borderId="54" xfId="0" applyFont="1" applyBorder="1" applyAlignment="1">
      <alignment horizontal="center" vertical="center"/>
    </xf>
    <xf numFmtId="0" fontId="4" fillId="0" borderId="9" xfId="0" applyFont="1" applyBorder="1" applyAlignment="1">
      <alignment horizontal="center" vertical="center"/>
    </xf>
    <xf numFmtId="0" fontId="5" fillId="0" borderId="57" xfId="0" applyFont="1" applyBorder="1" applyAlignment="1">
      <alignment horizontal="center"/>
    </xf>
    <xf numFmtId="0" fontId="13" fillId="0" borderId="39" xfId="0" applyFont="1" applyBorder="1" applyAlignment="1">
      <alignment horizontal="center" vertical="center"/>
    </xf>
    <xf numFmtId="0" fontId="4" fillId="0" borderId="83" xfId="0" applyFont="1" applyBorder="1" applyAlignment="1">
      <alignment horizontal="center" vertical="center"/>
    </xf>
    <xf numFmtId="0" fontId="5" fillId="0" borderId="122" xfId="0" applyFont="1" applyBorder="1" applyAlignment="1">
      <alignment horizontal="left"/>
    </xf>
    <xf numFmtId="0" fontId="5" fillId="0" borderId="64" xfId="0" applyFont="1" applyBorder="1" applyAlignment="1">
      <alignment horizontal="center"/>
    </xf>
    <xf numFmtId="43" fontId="14" fillId="0" borderId="39" xfId="1" applyFont="1" applyFill="1" applyBorder="1" applyAlignment="1">
      <alignment vertical="center"/>
    </xf>
    <xf numFmtId="0" fontId="13" fillId="0" borderId="63" xfId="0" applyFont="1" applyBorder="1" applyAlignment="1">
      <alignment horizontal="center" vertical="center"/>
    </xf>
    <xf numFmtId="0" fontId="4" fillId="0" borderId="123" xfId="0" applyFont="1" applyBorder="1" applyAlignment="1">
      <alignment horizontal="center" vertical="center"/>
    </xf>
    <xf numFmtId="0" fontId="5" fillId="0" borderId="4" xfId="0" applyFont="1" applyBorder="1" applyAlignment="1">
      <alignment horizontal="left" wrapText="1"/>
    </xf>
    <xf numFmtId="43" fontId="14" fillId="0" borderId="0" xfId="1" applyFont="1" applyFill="1" applyBorder="1" applyAlignment="1">
      <alignment vertical="center"/>
    </xf>
    <xf numFmtId="0" fontId="13" fillId="0" borderId="59" xfId="0" applyFont="1" applyBorder="1" applyAlignment="1">
      <alignment horizontal="center" vertical="center"/>
    </xf>
    <xf numFmtId="43" fontId="14" fillId="0" borderId="59" xfId="1" applyFont="1" applyFill="1" applyBorder="1" applyAlignment="1">
      <alignment vertical="center"/>
    </xf>
    <xf numFmtId="43" fontId="14" fillId="0" borderId="5" xfId="1" applyFont="1" applyFill="1" applyBorder="1" applyAlignment="1">
      <alignment vertical="center"/>
    </xf>
    <xf numFmtId="43" fontId="14" fillId="0" borderId="15" xfId="1" applyFont="1" applyFill="1" applyBorder="1" applyAlignment="1">
      <alignment vertical="center"/>
    </xf>
    <xf numFmtId="0" fontId="5" fillId="0" borderId="61" xfId="0" applyFont="1" applyBorder="1"/>
    <xf numFmtId="0" fontId="14" fillId="0" borderId="64" xfId="0" applyFont="1" applyBorder="1"/>
    <xf numFmtId="43" fontId="14" fillId="0" borderId="39" xfId="36" applyNumberFormat="1" applyFont="1" applyFill="1" applyBorder="1" applyAlignment="1">
      <alignment vertical="center"/>
    </xf>
    <xf numFmtId="43" fontId="14" fillId="0" borderId="64" xfId="1" applyFont="1" applyFill="1" applyBorder="1" applyAlignment="1">
      <alignment vertical="center"/>
    </xf>
    <xf numFmtId="43" fontId="14" fillId="0" borderId="39" xfId="36" applyNumberFormat="1" applyFont="1" applyFill="1" applyBorder="1" applyAlignment="1">
      <alignment horizontal="right" vertical="center" wrapText="1"/>
    </xf>
    <xf numFmtId="43" fontId="14" fillId="0" borderId="26" xfId="1" applyFont="1" applyFill="1" applyBorder="1" applyAlignment="1">
      <alignment vertical="center"/>
    </xf>
    <xf numFmtId="43" fontId="14" fillId="0" borderId="63" xfId="36" applyNumberFormat="1" applyFont="1" applyFill="1" applyBorder="1" applyAlignment="1">
      <alignment vertical="center"/>
    </xf>
    <xf numFmtId="0" fontId="33" fillId="0" borderId="0" xfId="0" applyFont="1"/>
    <xf numFmtId="43" fontId="14" fillId="0" borderId="46" xfId="36" applyNumberFormat="1" applyFont="1" applyFill="1" applyBorder="1" applyAlignment="1">
      <alignment vertical="center"/>
    </xf>
    <xf numFmtId="43" fontId="14" fillId="0" borderId="46" xfId="1" applyFont="1" applyFill="1" applyBorder="1" applyAlignment="1">
      <alignment vertical="center"/>
    </xf>
    <xf numFmtId="43" fontId="14" fillId="0" borderId="5" xfId="36" applyNumberFormat="1" applyFont="1" applyFill="1" applyBorder="1" applyAlignment="1">
      <alignment vertical="center"/>
    </xf>
    <xf numFmtId="0" fontId="34" fillId="0" borderId="0" xfId="0" applyFont="1"/>
    <xf numFmtId="43" fontId="14" fillId="0" borderId="60" xfId="1" applyFont="1" applyFill="1" applyBorder="1" applyAlignment="1">
      <alignment vertical="center"/>
    </xf>
    <xf numFmtId="43" fontId="14" fillId="0" borderId="5" xfId="0" applyNumberFormat="1" applyFont="1" applyBorder="1" applyAlignment="1">
      <alignment vertical="center"/>
    </xf>
    <xf numFmtId="0" fontId="4" fillId="0" borderId="19" xfId="0" applyFont="1" applyBorder="1" applyAlignment="1">
      <alignment vertical="center"/>
    </xf>
    <xf numFmtId="0" fontId="5" fillId="0" borderId="20" xfId="0" applyFont="1" applyBorder="1"/>
    <xf numFmtId="43" fontId="14" fillId="0" borderId="116" xfId="1" applyFont="1" applyFill="1" applyBorder="1" applyAlignment="1">
      <alignment vertical="center"/>
    </xf>
    <xf numFmtId="43" fontId="14" fillId="0" borderId="124" xfId="1" applyFont="1" applyFill="1" applyBorder="1" applyAlignment="1">
      <alignment vertical="center"/>
    </xf>
    <xf numFmtId="43" fontId="14" fillId="0" borderId="20" xfId="1" applyFont="1" applyFill="1" applyBorder="1" applyAlignment="1">
      <alignment vertical="center"/>
    </xf>
    <xf numFmtId="43" fontId="14" fillId="0" borderId="125" xfId="1" applyFont="1" applyFill="1" applyBorder="1" applyAlignment="1">
      <alignment vertical="center"/>
    </xf>
    <xf numFmtId="0" fontId="8" fillId="0" borderId="0" xfId="0" applyFont="1" applyAlignment="1">
      <alignment vertical="center"/>
    </xf>
    <xf numFmtId="43" fontId="33" fillId="0" borderId="0" xfId="1" applyFont="1" applyFill="1" applyBorder="1" applyAlignment="1">
      <alignment vertical="center"/>
    </xf>
    <xf numFmtId="0" fontId="5" fillId="0" borderId="55" xfId="0" applyFont="1" applyBorder="1"/>
    <xf numFmtId="0" fontId="5" fillId="0" borderId="56" xfId="0" applyFont="1" applyBorder="1"/>
    <xf numFmtId="0" fontId="4" fillId="0" borderId="42" xfId="0" applyFont="1" applyBorder="1" applyAlignment="1">
      <alignment horizontal="center" vertical="center" wrapText="1"/>
    </xf>
    <xf numFmtId="0" fontId="5" fillId="0" borderId="129" xfId="0" applyFont="1" applyBorder="1"/>
    <xf numFmtId="0" fontId="5" fillId="0" borderId="130" xfId="0" applyFont="1" applyBorder="1"/>
    <xf numFmtId="58" fontId="30" fillId="0" borderId="131" xfId="0" applyNumberFormat="1" applyFont="1" applyBorder="1" applyAlignment="1">
      <alignment horizontal="center" vertical="center"/>
    </xf>
    <xf numFmtId="58" fontId="3" fillId="0" borderId="0" xfId="0" applyNumberFormat="1" applyFont="1" applyAlignment="1">
      <alignment horizontal="center"/>
    </xf>
    <xf numFmtId="0" fontId="7" fillId="0" borderId="37" xfId="0" applyFont="1" applyBorder="1" applyAlignment="1">
      <alignment horizontal="center" vertical="top"/>
    </xf>
    <xf numFmtId="0" fontId="7" fillId="0" borderId="38" xfId="0" applyFont="1" applyBorder="1" applyAlignment="1">
      <alignment horizontal="center" vertical="top"/>
    </xf>
    <xf numFmtId="0" fontId="14" fillId="0" borderId="42" xfId="0" applyFont="1" applyBorder="1" applyAlignment="1">
      <alignment horizontal="left" vertical="center" wrapText="1" indent="1"/>
    </xf>
    <xf numFmtId="0" fontId="14" fillId="0" borderId="0" xfId="0" applyFont="1" applyAlignment="1">
      <alignment horizontal="left" vertical="center" wrapText="1" indent="1"/>
    </xf>
    <xf numFmtId="0" fontId="14" fillId="0" borderId="0" xfId="36" applyFont="1" applyFill="1" applyBorder="1" applyAlignment="1">
      <alignment vertical="center"/>
    </xf>
    <xf numFmtId="43" fontId="14" fillId="0" borderId="44" xfId="36" applyNumberFormat="1" applyFont="1" applyFill="1" applyBorder="1"/>
    <xf numFmtId="43" fontId="14" fillId="0" borderId="45" xfId="36" applyNumberFormat="1" applyFont="1" applyFill="1" applyBorder="1"/>
    <xf numFmtId="0" fontId="14" fillId="0" borderId="0" xfId="36" applyFont="1" applyFill="1" applyBorder="1" applyAlignment="1">
      <alignment vertical="center" wrapText="1"/>
    </xf>
    <xf numFmtId="0" fontId="35" fillId="0" borderId="42" xfId="0" applyFont="1" applyBorder="1" applyAlignment="1">
      <alignment horizontal="left" vertical="center" wrapText="1" indent="1"/>
    </xf>
    <xf numFmtId="0" fontId="35" fillId="0" borderId="0" xfId="0" applyFont="1" applyAlignment="1">
      <alignment horizontal="left" vertical="center" wrapText="1" indent="1"/>
    </xf>
    <xf numFmtId="43" fontId="14" fillId="0" borderId="68" xfId="1" applyFont="1" applyFill="1" applyBorder="1" applyAlignment="1">
      <alignment vertical="center"/>
    </xf>
    <xf numFmtId="43" fontId="14" fillId="0" borderId="34" xfId="1" applyFont="1" applyFill="1" applyBorder="1" applyAlignment="1">
      <alignment vertical="center"/>
    </xf>
    <xf numFmtId="0" fontId="14" fillId="0" borderId="42" xfId="0" applyFont="1" applyBorder="1" applyAlignment="1">
      <alignment horizontal="left" wrapText="1" indent="1"/>
    </xf>
    <xf numFmtId="0" fontId="14" fillId="0" borderId="0" xfId="0" applyFont="1" applyAlignment="1">
      <alignment horizontal="left" wrapText="1" indent="1"/>
    </xf>
    <xf numFmtId="43" fontId="14" fillId="0" borderId="44" xfId="1" applyFont="1" applyFill="1" applyBorder="1" applyAlignment="1">
      <alignment vertical="center"/>
    </xf>
    <xf numFmtId="43" fontId="14" fillId="0" borderId="45" xfId="1" applyFont="1" applyFill="1" applyBorder="1" applyAlignment="1">
      <alignment vertical="center"/>
    </xf>
    <xf numFmtId="43" fontId="14" fillId="0" borderId="30" xfId="36" applyNumberFormat="1" applyFont="1" applyFill="1" applyBorder="1"/>
    <xf numFmtId="43" fontId="14" fillId="0" borderId="31" xfId="36" applyNumberFormat="1" applyFont="1" applyFill="1" applyBorder="1"/>
    <xf numFmtId="0" fontId="10" fillId="0" borderId="42" xfId="0" applyFont="1" applyBorder="1" applyAlignment="1">
      <alignment horizontal="left" vertical="center" wrapText="1" indent="1"/>
    </xf>
    <xf numFmtId="0" fontId="10" fillId="0" borderId="0" xfId="0" applyFont="1" applyAlignment="1">
      <alignment horizontal="left" vertical="center" wrapText="1" indent="1"/>
    </xf>
    <xf numFmtId="43" fontId="14" fillId="0" borderId="33" xfId="1" applyFont="1" applyFill="1" applyBorder="1" applyAlignment="1">
      <alignment vertical="center"/>
    </xf>
    <xf numFmtId="0" fontId="3" fillId="0" borderId="79" xfId="0" applyFont="1" applyBorder="1" applyAlignment="1">
      <alignment horizontal="left" vertical="center" wrapText="1" indent="1"/>
    </xf>
    <xf numFmtId="0" fontId="3" fillId="0" borderId="88" xfId="0" applyFont="1" applyBorder="1" applyAlignment="1">
      <alignment horizontal="left" vertical="center" wrapText="1" indent="1"/>
    </xf>
    <xf numFmtId="43" fontId="14" fillId="0" borderId="44" xfId="36" applyNumberFormat="1" applyFont="1" applyFill="1" applyBorder="1" applyAlignment="1">
      <alignment vertical="center"/>
    </xf>
    <xf numFmtId="178" fontId="14" fillId="0" borderId="38" xfId="36" applyNumberFormat="1" applyFont="1" applyFill="1" applyBorder="1" applyAlignment="1">
      <alignment vertical="center"/>
    </xf>
    <xf numFmtId="0" fontId="3" fillId="0" borderId="61" xfId="0" applyFont="1" applyBorder="1" applyAlignment="1">
      <alignment horizontal="left" vertical="center" wrapText="1" indent="1"/>
    </xf>
    <xf numFmtId="0" fontId="3" fillId="0" borderId="64" xfId="0" applyFont="1" applyBorder="1" applyAlignment="1">
      <alignment horizontal="left" vertical="center" wrapText="1" indent="1"/>
    </xf>
    <xf numFmtId="0" fontId="14" fillId="0" borderId="63" xfId="0" applyFont="1" applyBorder="1"/>
    <xf numFmtId="43" fontId="14" fillId="0" borderId="110" xfId="1" applyFont="1" applyFill="1" applyBorder="1" applyAlignment="1">
      <alignment vertical="center"/>
    </xf>
    <xf numFmtId="0" fontId="14" fillId="0" borderId="0" xfId="0" applyFont="1" applyAlignment="1">
      <alignment horizontal="left" indent="4"/>
    </xf>
    <xf numFmtId="0" fontId="12" fillId="0" borderId="0" xfId="0" applyFont="1" applyAlignment="1">
      <alignment horizontal="left" wrapText="1"/>
    </xf>
    <xf numFmtId="0" fontId="5" fillId="0" borderId="0" xfId="0" applyFont="1" applyAlignment="1">
      <alignment vertical="top"/>
    </xf>
    <xf numFmtId="0" fontId="5" fillId="0" borderId="0" xfId="0" applyFont="1" applyAlignment="1">
      <alignment horizontal="left" vertical="top" wrapText="1"/>
    </xf>
    <xf numFmtId="0" fontId="12" fillId="0" borderId="0" xfId="0" applyFont="1" applyAlignment="1">
      <alignment vertical="center"/>
    </xf>
    <xf numFmtId="0" fontId="2" fillId="0" borderId="54" xfId="0" applyFont="1" applyBorder="1" applyAlignment="1">
      <alignment horizontal="left" vertical="center"/>
    </xf>
    <xf numFmtId="0" fontId="1" fillId="0" borderId="55" xfId="0" applyFont="1" applyBorder="1" applyAlignment="1">
      <alignment vertical="center"/>
    </xf>
    <xf numFmtId="0" fontId="1" fillId="0" borderId="56" xfId="0" applyFont="1" applyBorder="1" applyAlignment="1">
      <alignment vertical="center"/>
    </xf>
    <xf numFmtId="0" fontId="3" fillId="0" borderId="42" xfId="0" applyFont="1" applyBorder="1" applyAlignment="1">
      <alignment horizontal="center" vertical="center" wrapText="1"/>
    </xf>
    <xf numFmtId="0" fontId="3" fillId="0" borderId="0" xfId="0" applyFont="1" applyAlignment="1">
      <alignment horizontal="center" vertical="center" wrapText="1"/>
    </xf>
    <xf numFmtId="0" fontId="3" fillId="0" borderId="57" xfId="0" applyFont="1" applyBorder="1" applyAlignment="1">
      <alignment horizontal="center" vertical="center" wrapText="1"/>
    </xf>
    <xf numFmtId="0" fontId="5" fillId="0" borderId="54" xfId="0" applyFont="1" applyBorder="1" applyAlignment="1">
      <alignment vertical="center"/>
    </xf>
    <xf numFmtId="0" fontId="5" fillId="0" borderId="55" xfId="0" applyFont="1" applyBorder="1" applyAlignment="1">
      <alignment vertical="center"/>
    </xf>
    <xf numFmtId="58" fontId="3" fillId="0" borderId="55" xfId="0" applyNumberFormat="1" applyFont="1" applyBorder="1" applyAlignment="1">
      <alignment horizontal="center" vertical="center"/>
    </xf>
    <xf numFmtId="58" fontId="13" fillId="0" borderId="132" xfId="0" applyNumberFormat="1" applyFont="1" applyBorder="1" applyAlignment="1">
      <alignment horizontal="center" vertical="center"/>
    </xf>
    <xf numFmtId="0" fontId="13" fillId="0" borderId="133" xfId="0" applyFont="1" applyBorder="1" applyAlignment="1">
      <alignment horizontal="center" vertical="center"/>
    </xf>
    <xf numFmtId="0" fontId="3" fillId="0" borderId="42" xfId="0" applyFont="1" applyBorder="1" applyAlignment="1">
      <alignment vertical="center"/>
    </xf>
    <xf numFmtId="0" fontId="5" fillId="0" borderId="134" xfId="0" applyFont="1" applyBorder="1" applyAlignment="1">
      <alignment horizontal="center" vertical="center"/>
    </xf>
    <xf numFmtId="0" fontId="5" fillId="0" borderId="57" xfId="0" applyFont="1" applyBorder="1" applyAlignment="1">
      <alignment horizontal="center" vertical="center"/>
    </xf>
    <xf numFmtId="0" fontId="7" fillId="0" borderId="134" xfId="0" applyFont="1" applyBorder="1" applyAlignment="1">
      <alignment horizontal="center" vertical="center"/>
    </xf>
    <xf numFmtId="0" fontId="7" fillId="0" borderId="38" xfId="0" applyFont="1" applyBorder="1" applyAlignment="1">
      <alignment horizontal="center" vertical="center"/>
    </xf>
    <xf numFmtId="0" fontId="3" fillId="0" borderId="42" xfId="0" applyFont="1" applyBorder="1" applyAlignment="1">
      <alignment horizontal="left" vertical="center"/>
    </xf>
    <xf numFmtId="0" fontId="12" fillId="0" borderId="134" xfId="0" applyFont="1" applyBorder="1" applyAlignment="1">
      <alignment vertical="center"/>
    </xf>
    <xf numFmtId="0" fontId="12" fillId="0" borderId="57" xfId="0" applyFont="1" applyBorder="1" applyAlignment="1">
      <alignment vertical="center"/>
    </xf>
    <xf numFmtId="0" fontId="5" fillId="0" borderId="134" xfId="0" applyFont="1" applyBorder="1" applyAlignment="1">
      <alignment vertical="center"/>
    </xf>
    <xf numFmtId="0" fontId="5" fillId="0" borderId="45" xfId="0" applyFont="1" applyBorder="1" applyAlignment="1">
      <alignment vertical="center"/>
    </xf>
    <xf numFmtId="0" fontId="14" fillId="0" borderId="42" xfId="0" applyFont="1" applyBorder="1" applyAlignment="1">
      <alignment horizontal="left" vertical="center"/>
    </xf>
    <xf numFmtId="0" fontId="15" fillId="0" borderId="0" xfId="36" applyFont="1" applyFill="1" applyBorder="1" applyAlignment="1">
      <alignment vertical="center"/>
    </xf>
    <xf numFmtId="43" fontId="14" fillId="0" borderId="134" xfId="36" applyNumberFormat="1" applyFont="1" applyFill="1" applyBorder="1" applyAlignment="1">
      <alignment vertical="center"/>
    </xf>
    <xf numFmtId="43" fontId="14" fillId="0" borderId="45" xfId="36" applyNumberFormat="1" applyFont="1" applyFill="1" applyBorder="1" applyAlignment="1">
      <alignment vertical="center"/>
    </xf>
    <xf numFmtId="0" fontId="14" fillId="0" borderId="42" xfId="0" applyFont="1" applyBorder="1" applyAlignment="1">
      <alignment vertical="center"/>
    </xf>
    <xf numFmtId="0" fontId="14" fillId="0" borderId="135" xfId="36" applyFont="1" applyFill="1" applyBorder="1" applyAlignment="1">
      <alignment vertical="center" wrapText="1"/>
    </xf>
    <xf numFmtId="0" fontId="3" fillId="0" borderId="61" xfId="0" applyFont="1" applyBorder="1" applyAlignment="1">
      <alignment horizontal="left" vertical="center"/>
    </xf>
    <xf numFmtId="0" fontId="4" fillId="0" borderId="64" xfId="0" applyFont="1" applyBorder="1" applyAlignment="1">
      <alignment vertical="center"/>
    </xf>
    <xf numFmtId="0" fontId="5" fillId="0" borderId="64" xfId="0" applyFont="1" applyBorder="1" applyAlignment="1">
      <alignment vertical="center"/>
    </xf>
    <xf numFmtId="0" fontId="14" fillId="0" borderId="64" xfId="0" applyFont="1" applyBorder="1" applyAlignment="1">
      <alignment vertical="center"/>
    </xf>
    <xf numFmtId="43" fontId="14" fillId="0" borderId="63" xfId="1" applyFont="1" applyFill="1" applyBorder="1" applyAlignment="1">
      <alignment vertical="center"/>
    </xf>
    <xf numFmtId="43" fontId="14" fillId="0" borderId="136" xfId="1" applyFont="1" applyFill="1" applyBorder="1" applyAlignment="1">
      <alignment vertical="center"/>
    </xf>
    <xf numFmtId="43" fontId="14" fillId="0" borderId="134" xfId="0" applyNumberFormat="1" applyFont="1" applyBorder="1" applyAlignment="1">
      <alignment vertical="center"/>
    </xf>
    <xf numFmtId="0" fontId="14" fillId="0" borderId="0" xfId="0" applyFont="1" applyAlignment="1">
      <alignment horizontal="left" vertical="center"/>
    </xf>
    <xf numFmtId="43" fontId="14" fillId="0" borderId="137" xfId="0" applyNumberFormat="1" applyFont="1" applyBorder="1" applyAlignment="1">
      <alignment vertical="center"/>
    </xf>
    <xf numFmtId="43" fontId="14" fillId="0" borderId="138" xfId="0" applyNumberFormat="1" applyFont="1" applyBorder="1" applyAlignment="1">
      <alignment vertical="center"/>
    </xf>
    <xf numFmtId="178" fontId="14" fillId="0" borderId="45" xfId="36" applyNumberFormat="1" applyFont="1" applyFill="1" applyBorder="1" applyAlignment="1">
      <alignment vertical="center"/>
    </xf>
    <xf numFmtId="0" fontId="3" fillId="0" borderId="54" xfId="0" applyFont="1" applyBorder="1" applyAlignment="1">
      <alignment horizontal="left" vertical="center"/>
    </xf>
    <xf numFmtId="0" fontId="14" fillId="0" borderId="56" xfId="0" applyFont="1" applyBorder="1" applyAlignment="1">
      <alignment vertical="center"/>
    </xf>
    <xf numFmtId="43" fontId="14" fillId="0" borderId="17" xfId="0" applyNumberFormat="1" applyFont="1" applyBorder="1" applyAlignment="1">
      <alignment vertical="center"/>
    </xf>
    <xf numFmtId="0" fontId="3" fillId="0" borderId="84" xfId="0" applyFont="1" applyBorder="1" applyAlignment="1">
      <alignment vertical="center"/>
    </xf>
    <xf numFmtId="0" fontId="5" fillId="0" borderId="90" xfId="0" applyFont="1" applyBorder="1" applyAlignment="1">
      <alignment vertical="center"/>
    </xf>
    <xf numFmtId="0" fontId="14" fillId="0" borderId="90" xfId="0" applyFont="1" applyBorder="1" applyAlignment="1">
      <alignment vertical="center"/>
    </xf>
    <xf numFmtId="0" fontId="5" fillId="0" borderId="63" xfId="0" applyFont="1" applyBorder="1" applyAlignment="1">
      <alignment vertical="center"/>
    </xf>
    <xf numFmtId="43" fontId="14" fillId="0" borderId="61" xfId="1" applyFont="1" applyFill="1" applyBorder="1" applyAlignment="1">
      <alignment vertical="center"/>
    </xf>
    <xf numFmtId="0" fontId="3" fillId="0" borderId="61" xfId="0" applyFont="1" applyBorder="1" applyAlignment="1">
      <alignment vertical="center"/>
    </xf>
    <xf numFmtId="0" fontId="14" fillId="0" borderId="63" xfId="0" applyFont="1" applyBorder="1" applyAlignment="1">
      <alignment vertical="center"/>
    </xf>
    <xf numFmtId="43" fontId="14" fillId="0" borderId="121" xfId="1" applyFont="1" applyFill="1" applyBorder="1" applyAlignment="1">
      <alignment vertical="center"/>
    </xf>
    <xf numFmtId="0" fontId="3" fillId="0" borderId="79" xfId="0" applyFont="1" applyBorder="1" applyAlignment="1">
      <alignment vertical="center"/>
    </xf>
    <xf numFmtId="0" fontId="4" fillId="0" borderId="88" xfId="0" applyFont="1" applyBorder="1" applyAlignment="1">
      <alignment vertical="center"/>
    </xf>
    <xf numFmtId="43" fontId="14" fillId="0" borderId="127" xfId="1" applyFont="1" applyFill="1" applyBorder="1" applyAlignment="1">
      <alignment vertical="center"/>
    </xf>
    <xf numFmtId="0" fontId="13" fillId="0" borderId="88" xfId="0" applyFont="1" applyBorder="1" applyAlignment="1">
      <alignment vertical="center"/>
    </xf>
    <xf numFmtId="0" fontId="3" fillId="0" borderId="88" xfId="0" applyFont="1" applyBorder="1" applyAlignment="1">
      <alignment vertical="center"/>
    </xf>
    <xf numFmtId="43" fontId="14" fillId="0" borderId="126" xfId="1" applyFont="1" applyFill="1" applyBorder="1" applyAlignment="1">
      <alignment vertical="center"/>
    </xf>
    <xf numFmtId="0" fontId="3" fillId="0" borderId="0" xfId="0" applyFont="1"/>
    <xf numFmtId="0" fontId="14" fillId="2" borderId="0" xfId="0" applyFont="1" applyFill="1"/>
    <xf numFmtId="0" fontId="14" fillId="2" borderId="139" xfId="0" applyFont="1" applyFill="1" applyBorder="1"/>
    <xf numFmtId="0" fontId="13" fillId="2" borderId="140" xfId="0" applyFont="1" applyFill="1" applyBorder="1"/>
    <xf numFmtId="0" fontId="3" fillId="2" borderId="140" xfId="0" applyFont="1" applyFill="1" applyBorder="1"/>
    <xf numFmtId="0" fontId="14" fillId="2" borderId="140" xfId="0" applyFont="1" applyFill="1" applyBorder="1"/>
    <xf numFmtId="0" fontId="14" fillId="2" borderId="36" xfId="0" applyFont="1" applyFill="1" applyBorder="1"/>
    <xf numFmtId="0" fontId="14" fillId="2" borderId="65" xfId="0" applyFont="1" applyFill="1" applyBorder="1"/>
    <xf numFmtId="0" fontId="2" fillId="2" borderId="0" xfId="0" applyFont="1" applyFill="1" applyAlignment="1">
      <alignment horizontal="center"/>
    </xf>
    <xf numFmtId="0" fontId="3" fillId="2" borderId="141" xfId="0" applyFont="1" applyFill="1" applyBorder="1"/>
    <xf numFmtId="0" fontId="14" fillId="2" borderId="0" xfId="0" applyFont="1" applyFill="1" applyAlignment="1">
      <alignment horizontal="left" indent="1"/>
    </xf>
    <xf numFmtId="0" fontId="14" fillId="2" borderId="141" xfId="0" applyFont="1" applyFill="1" applyBorder="1"/>
    <xf numFmtId="0" fontId="3" fillId="2" borderId="65" xfId="0" applyFont="1" applyFill="1" applyBorder="1" applyAlignment="1">
      <alignment horizontal="center"/>
    </xf>
    <xf numFmtId="0" fontId="3" fillId="2" borderId="141" xfId="0" applyFont="1" applyFill="1" applyBorder="1" applyAlignment="1">
      <alignment horizontal="center"/>
    </xf>
    <xf numFmtId="0" fontId="3" fillId="2" borderId="0" xfId="0" applyFont="1" applyFill="1"/>
    <xf numFmtId="0" fontId="12" fillId="2" borderId="0" xfId="0" applyFont="1" applyFill="1" applyAlignment="1">
      <alignment horizontal="center"/>
    </xf>
    <xf numFmtId="0" fontId="36" fillId="2" borderId="0" xfId="0" applyFont="1" applyFill="1" applyAlignment="1">
      <alignment vertical="top" wrapText="1"/>
    </xf>
    <xf numFmtId="0" fontId="14" fillId="2" borderId="0" xfId="0" applyFont="1" applyFill="1" applyAlignment="1">
      <alignment vertical="top" wrapText="1"/>
    </xf>
    <xf numFmtId="0" fontId="14" fillId="2" borderId="141" xfId="0" applyFont="1" applyFill="1" applyBorder="1" applyAlignment="1">
      <alignment vertical="top" wrapText="1"/>
    </xf>
    <xf numFmtId="0" fontId="14" fillId="2" borderId="0" xfId="0" applyFont="1" applyFill="1" applyAlignment="1">
      <alignment vertical="top"/>
    </xf>
    <xf numFmtId="0" fontId="14" fillId="2" borderId="0" xfId="0" applyFont="1" applyFill="1" applyAlignment="1">
      <alignment horizontal="left" vertical="top" wrapText="1"/>
    </xf>
    <xf numFmtId="0" fontId="3" fillId="2" borderId="0" xfId="0" applyFont="1" applyFill="1" applyAlignment="1">
      <alignment horizontal="left" vertical="top" wrapText="1"/>
    </xf>
    <xf numFmtId="0" fontId="3" fillId="2" borderId="141" xfId="0" applyFont="1" applyFill="1" applyBorder="1" applyAlignment="1">
      <alignment horizontal="left" vertical="top" wrapText="1"/>
    </xf>
    <xf numFmtId="0" fontId="3" fillId="2" borderId="0" xfId="0" applyFont="1" applyFill="1" applyAlignment="1">
      <alignment vertical="top"/>
    </xf>
    <xf numFmtId="0" fontId="14" fillId="2" borderId="0" xfId="0" applyFont="1" applyFill="1" applyAlignment="1">
      <alignment horizontal="right" vertical="top" wrapText="1"/>
    </xf>
    <xf numFmtId="0" fontId="5" fillId="2" borderId="0" xfId="0" applyFont="1" applyFill="1" applyAlignment="1">
      <alignment vertical="top"/>
    </xf>
    <xf numFmtId="0" fontId="3" fillId="2" borderId="0" xfId="0" applyFont="1" applyFill="1" applyAlignment="1">
      <alignment vertical="top" wrapText="1"/>
    </xf>
    <xf numFmtId="0" fontId="3" fillId="2" borderId="142" xfId="0" applyFont="1" applyFill="1" applyBorder="1" applyAlignment="1">
      <alignment horizontal="center"/>
    </xf>
    <xf numFmtId="0" fontId="14" fillId="2" borderId="0" xfId="0" applyFont="1" applyFill="1" applyAlignment="1">
      <alignment horizontal="center"/>
    </xf>
    <xf numFmtId="0" fontId="14" fillId="2" borderId="140" xfId="0" applyFont="1" applyFill="1" applyBorder="1" applyAlignment="1">
      <alignment horizontal="center" vertical="center"/>
    </xf>
    <xf numFmtId="0" fontId="14" fillId="2" borderId="140" xfId="0" applyFont="1" applyFill="1" applyBorder="1" applyAlignment="1">
      <alignment horizontal="center" vertical="center" wrapText="1"/>
    </xf>
    <xf numFmtId="0" fontId="14" fillId="2" borderId="141" xfId="0" applyFont="1" applyFill="1" applyBorder="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center" vertical="center" wrapText="1"/>
    </xf>
    <xf numFmtId="3" fontId="14" fillId="2" borderId="140" xfId="36" applyNumberFormat="1" applyFont="1" applyFill="1" applyBorder="1"/>
    <xf numFmtId="43" fontId="14" fillId="2" borderId="140" xfId="36" applyNumberFormat="1" applyFont="1" applyFill="1" applyBorder="1"/>
    <xf numFmtId="180" fontId="14" fillId="2" borderId="140" xfId="36" applyNumberFormat="1" applyFont="1" applyFill="1" applyBorder="1"/>
    <xf numFmtId="3" fontId="14" fillId="2" borderId="0" xfId="36" applyNumberFormat="1" applyFont="1" applyFill="1" applyBorder="1"/>
    <xf numFmtId="43" fontId="14" fillId="2" borderId="0" xfId="36" applyNumberFormat="1" applyFont="1" applyFill="1" applyBorder="1"/>
    <xf numFmtId="180" fontId="14" fillId="2" borderId="0" xfId="36" applyNumberFormat="1" applyFont="1" applyFill="1" applyBorder="1"/>
    <xf numFmtId="0" fontId="14" fillId="2" borderId="143" xfId="0" applyFont="1" applyFill="1" applyBorder="1"/>
    <xf numFmtId="0" fontId="14" fillId="2" borderId="142" xfId="0" applyFont="1" applyFill="1" applyBorder="1"/>
    <xf numFmtId="0" fontId="14" fillId="2" borderId="29" xfId="0" applyFont="1" applyFill="1" applyBorder="1"/>
    <xf numFmtId="0" fontId="19" fillId="2" borderId="42" xfId="0" applyFont="1" applyFill="1" applyBorder="1" quotePrefix="1"/>
    <xf numFmtId="0" fontId="19" fillId="2" borderId="42" xfId="0" applyFont="1" applyFill="1" applyBorder="1" applyAlignment="1" quotePrefix="1">
      <alignment horizontal="left" wrapText="1"/>
    </xf>
    <xf numFmtId="0" fontId="19" fillId="2" borderId="42" xfId="0" applyFont="1" applyFill="1" applyBorder="1" applyAlignment="1" quotePrefix="1">
      <alignment horizontal="left"/>
    </xf>
  </cellXfs>
  <cellStyles count="51">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0] 2" xfId="49"/>
    <cellStyle name="Normal 2" xfId="50"/>
  </cellStyles>
  <dxfs count="4">
    <dxf>
      <font>
        <b val="1"/>
        <i val="0"/>
        <color theme="0"/>
      </font>
      <fill>
        <patternFill patternType="solid">
          <bgColor rgb="FFFF0000"/>
        </patternFill>
      </fill>
    </dxf>
    <dxf>
      <fill>
        <patternFill patternType="solid">
          <bgColor rgb="FFFF0000"/>
        </patternFill>
      </fill>
    </dxf>
    <dxf>
      <font>
        <color theme="0"/>
      </font>
      <fill>
        <patternFill patternType="solid">
          <bgColor rgb="FFC00000"/>
        </patternFill>
      </fill>
    </dxf>
    <dxf>
      <font>
        <color theme="0"/>
      </font>
      <fill>
        <patternFill patternType="solid">
          <bgColor rgb="FFC00000"/>
        </patternFill>
      </fill>
    </dxf>
  </dxfs>
  <tableStyles count="0" defaultTableStyle="TableStyleMedium9" defaultPivotStyle="PivotStyleLight16"/>
  <colors>
    <mruColors>
      <color rgb="000000EE"/>
      <color rgb="00FFFFE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hyperlink" Target="https://web.cpcecba.org.ar/download/63939/?tmstv=177264851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N56"/>
  <sheetViews>
    <sheetView zoomScale="75" zoomScaleNormal="75" workbookViewId="0">
      <selection activeCell="A1" sqref="A1"/>
    </sheetView>
  </sheetViews>
  <sheetFormatPr defaultColWidth="11.4259259259259" defaultRowHeight="13.8"/>
  <cols>
    <col min="1" max="1" width="2.85185185185185" style="814" customWidth="1"/>
    <col min="2" max="2" width="1.71296296296296" style="814" customWidth="1"/>
    <col min="3" max="3" width="16" style="814" customWidth="1"/>
    <col min="4" max="4" width="11.5740740740741" style="814" customWidth="1"/>
    <col min="5" max="5" width="20.1388888888889" style="814" customWidth="1"/>
    <col min="6" max="6" width="3.71296296296296" style="814" customWidth="1"/>
    <col min="7" max="7" width="15.4259259259259" style="814" customWidth="1"/>
    <col min="8" max="8" width="18.8518518518519" style="814" customWidth="1"/>
    <col min="9" max="9" width="11.5740740740741" style="814" customWidth="1"/>
    <col min="10" max="10" width="3" style="814" customWidth="1"/>
    <col min="11" max="16384" width="11.4259259259259" style="814"/>
  </cols>
  <sheetData>
    <row r="2" spans="2:14">
      <c r="B2" s="815"/>
      <c r="C2" s="816"/>
      <c r="D2" s="817"/>
      <c r="E2" s="817"/>
      <c r="F2" s="817"/>
      <c r="G2" s="818"/>
      <c r="H2" s="818"/>
      <c r="I2" s="819"/>
    </row>
    <row r="3" spans="2:14">
      <c r="B3" s="820"/>
      <c r="C3" s="821" t="s">
        <v>0</v>
      </c>
      <c r="D3" s="821"/>
      <c r="E3" s="821"/>
      <c r="F3" s="821"/>
      <c r="G3" s="821"/>
      <c r="H3" s="821"/>
      <c r="I3" s="822"/>
    </row>
    <row r="4" spans="2:14">
      <c r="B4" s="820"/>
      <c r="C4" s="823"/>
      <c r="D4" s="823"/>
      <c r="E4" s="823"/>
      <c r="F4" s="823"/>
      <c r="I4" s="824"/>
    </row>
    <row r="5" spans="2:14">
      <c r="B5" s="825" t="s">
        <v>1</v>
      </c>
      <c r="C5" s="41"/>
      <c r="D5" s="41"/>
      <c r="E5" s="41"/>
      <c r="F5" s="41"/>
      <c r="G5" s="41"/>
      <c r="H5" s="41"/>
      <c r="I5" s="826"/>
      <c r="K5" s="827"/>
      <c r="L5" s="827"/>
      <c r="M5" s="827"/>
      <c r="N5" s="827"/>
    </row>
    <row r="6" spans="2:14">
      <c r="B6" s="820"/>
      <c r="C6" s="41" t="s">
        <v>2</v>
      </c>
      <c r="D6" s="41"/>
      <c r="E6" s="41"/>
      <c r="F6" s="41"/>
      <c r="G6" s="41"/>
      <c r="H6" s="41"/>
      <c r="I6" s="822"/>
      <c r="J6" s="827"/>
      <c r="K6" s="827"/>
      <c r="L6" s="827"/>
      <c r="M6" s="827"/>
      <c r="N6" s="827"/>
    </row>
    <row r="7" spans="2:14">
      <c r="B7" s="820"/>
      <c r="C7" s="41"/>
      <c r="D7" s="41"/>
      <c r="E7" s="41"/>
      <c r="F7" s="41"/>
      <c r="G7" s="41"/>
      <c r="H7" s="41"/>
      <c r="I7" s="826"/>
      <c r="J7" s="827"/>
      <c r="K7" s="827"/>
      <c r="L7" s="827"/>
      <c r="M7" s="827"/>
      <c r="N7" s="827"/>
    </row>
    <row r="8" spans="2:14">
      <c r="B8" s="820"/>
      <c r="C8" s="41" t="s">
        <v>3</v>
      </c>
      <c r="D8" s="41"/>
      <c r="E8" s="41"/>
      <c r="F8" s="41"/>
      <c r="G8" s="41"/>
      <c r="H8" s="41"/>
      <c r="I8" s="822"/>
    </row>
    <row r="9" spans="2:14">
      <c r="B9" s="820"/>
      <c r="C9" s="828" t="s">
        <v>4</v>
      </c>
      <c r="D9" s="828"/>
      <c r="E9" s="828"/>
      <c r="F9" s="828"/>
      <c r="G9" s="828"/>
      <c r="H9" s="828"/>
      <c r="I9" s="824"/>
    </row>
    <row r="10" spans="2:14">
      <c r="B10" s="820"/>
      <c r="C10" s="829"/>
      <c r="D10" s="829"/>
      <c r="E10" s="829"/>
      <c r="F10" s="829"/>
      <c r="G10" s="830"/>
      <c r="H10" s="830"/>
      <c r="I10" s="831"/>
    </row>
    <row r="11" spans="2:14">
      <c r="B11" s="820"/>
      <c r="C11" s="832" t="s">
        <v>5</v>
      </c>
      <c r="D11" s="829"/>
      <c r="E11" s="829"/>
      <c r="F11" s="829"/>
      <c r="G11" s="830"/>
      <c r="H11" s="830"/>
      <c r="I11" s="831"/>
    </row>
    <row r="12" spans="2:14">
      <c r="B12" s="820"/>
      <c r="C12" s="832"/>
      <c r="D12" s="829"/>
      <c r="E12" s="829"/>
      <c r="F12" s="829"/>
      <c r="G12" s="830"/>
      <c r="H12" s="830"/>
      <c r="I12" s="831"/>
    </row>
    <row r="13" spans="2:14">
      <c r="B13" s="820"/>
      <c r="C13" s="832" t="s">
        <v>6</v>
      </c>
      <c r="D13" s="830"/>
      <c r="E13" s="830"/>
      <c r="F13" s="830"/>
      <c r="G13" s="830"/>
      <c r="H13" s="830"/>
      <c r="I13" s="831"/>
    </row>
    <row r="14" spans="2:14">
      <c r="B14" s="820"/>
      <c r="C14" s="830"/>
      <c r="D14" s="830"/>
      <c r="E14" s="830"/>
      <c r="F14" s="830"/>
      <c r="G14" s="830"/>
      <c r="H14" s="830"/>
      <c r="I14" s="831"/>
    </row>
    <row r="15" spans="2:14">
      <c r="B15" s="820"/>
      <c r="C15" s="832" t="s">
        <v>7</v>
      </c>
      <c r="D15" s="832"/>
      <c r="E15" s="830"/>
      <c r="F15" s="830"/>
      <c r="G15" s="830"/>
      <c r="H15" s="830"/>
      <c r="I15" s="831"/>
    </row>
    <row r="16" spans="2:14">
      <c r="B16" s="820"/>
      <c r="C16" s="830"/>
      <c r="D16" s="830"/>
      <c r="E16" s="830"/>
      <c r="F16" s="830"/>
      <c r="G16" s="830"/>
      <c r="H16" s="830"/>
      <c r="I16" s="831"/>
    </row>
    <row r="17" spans="2:9">
      <c r="B17" s="820"/>
      <c r="C17" s="833" t="s">
        <v>8</v>
      </c>
      <c r="D17" s="833"/>
      <c r="E17" s="832"/>
      <c r="F17" s="830"/>
      <c r="G17" s="830"/>
      <c r="H17" s="830"/>
      <c r="I17" s="831"/>
    </row>
    <row r="18" spans="2:9">
      <c r="B18" s="820"/>
      <c r="C18" s="829"/>
      <c r="D18" s="829"/>
      <c r="E18" s="832"/>
      <c r="F18" s="829"/>
      <c r="G18" s="830"/>
      <c r="H18" s="830"/>
      <c r="I18" s="831"/>
    </row>
    <row r="19" spans="2:9">
      <c r="B19" s="820"/>
      <c r="C19" s="830"/>
      <c r="D19" s="830"/>
      <c r="E19" s="832"/>
      <c r="F19" s="830"/>
      <c r="G19" s="830"/>
      <c r="H19" s="830"/>
      <c r="I19" s="831"/>
    </row>
    <row r="20" spans="2:9">
      <c r="B20" s="820"/>
      <c r="C20" s="834" t="s">
        <v>9</v>
      </c>
      <c r="D20" s="834"/>
      <c r="E20" s="834"/>
      <c r="F20" s="834"/>
      <c r="G20" s="834"/>
      <c r="H20" s="834"/>
      <c r="I20" s="835"/>
    </row>
    <row r="21" spans="2:9">
      <c r="B21" s="820"/>
      <c r="C21" s="830"/>
      <c r="D21" s="830"/>
      <c r="E21" s="830"/>
      <c r="F21" s="830"/>
      <c r="G21" s="830"/>
      <c r="H21" s="830"/>
      <c r="I21" s="831"/>
    </row>
    <row r="22" ht="15" customHeight="1" spans="2:9">
      <c r="B22" s="820"/>
      <c r="C22" s="832" t="s">
        <v>10</v>
      </c>
      <c r="D22" s="832"/>
      <c r="E22" s="832"/>
      <c r="F22" s="830"/>
      <c r="G22" s="832" t="s">
        <v>11</v>
      </c>
      <c r="H22" s="830"/>
      <c r="I22" s="831"/>
    </row>
    <row r="23" spans="2:9">
      <c r="B23" s="820"/>
      <c r="C23" s="832" t="s">
        <v>12</v>
      </c>
      <c r="D23" s="832"/>
      <c r="E23" s="830"/>
      <c r="F23" s="830"/>
      <c r="G23" s="830"/>
      <c r="H23" s="830"/>
      <c r="I23" s="831"/>
    </row>
    <row r="24" spans="2:9">
      <c r="B24" s="820"/>
      <c r="C24" s="836" t="s">
        <v>13</v>
      </c>
      <c r="D24" s="830"/>
      <c r="E24" s="830"/>
      <c r="F24" s="830"/>
      <c r="G24" s="837"/>
      <c r="H24" s="833"/>
      <c r="I24" s="831"/>
    </row>
    <row r="25" spans="2:9">
      <c r="B25" s="820"/>
      <c r="C25" s="832"/>
      <c r="D25" s="830"/>
      <c r="E25" s="830"/>
      <c r="F25" s="830"/>
      <c r="G25" s="837"/>
      <c r="H25" s="833"/>
      <c r="I25" s="831"/>
    </row>
    <row r="26" spans="2:9">
      <c r="B26" s="820"/>
      <c r="C26" s="832" t="s">
        <v>14</v>
      </c>
      <c r="D26" s="830"/>
      <c r="F26" s="830"/>
      <c r="G26" s="830" t="s">
        <v>15</v>
      </c>
      <c r="H26" s="833"/>
      <c r="I26" s="831"/>
    </row>
    <row r="27" spans="2:9">
      <c r="B27" s="820"/>
      <c r="C27" s="832" t="s">
        <v>16</v>
      </c>
      <c r="D27" s="829"/>
      <c r="E27" s="830"/>
      <c r="F27" s="829"/>
      <c r="G27" s="830" t="s">
        <v>17</v>
      </c>
      <c r="H27" s="830"/>
      <c r="I27" s="831"/>
    </row>
    <row r="28" spans="2:9">
      <c r="B28" s="820"/>
      <c r="C28" s="838" t="s">
        <v>18</v>
      </c>
      <c r="D28" s="829"/>
      <c r="E28" s="829"/>
      <c r="F28" s="829"/>
      <c r="G28" s="830"/>
      <c r="H28" s="830"/>
      <c r="I28" s="831"/>
    </row>
    <row r="29" spans="2:9">
      <c r="B29" s="820"/>
      <c r="C29" s="832" t="s">
        <v>19</v>
      </c>
      <c r="D29" s="829"/>
      <c r="E29" s="829"/>
      <c r="F29" s="829"/>
      <c r="G29" s="830"/>
      <c r="H29" s="830"/>
      <c r="I29" s="831"/>
    </row>
    <row r="30" spans="2:9">
      <c r="B30" s="820"/>
      <c r="C30" s="832" t="s">
        <v>20</v>
      </c>
      <c r="D30" s="829"/>
      <c r="E30" s="829"/>
      <c r="F30" s="829"/>
      <c r="G30" s="830"/>
      <c r="H30" s="830"/>
      <c r="I30" s="831"/>
    </row>
    <row r="31" spans="2:9">
      <c r="B31" s="820"/>
      <c r="C31" s="832" t="s">
        <v>21</v>
      </c>
      <c r="D31" s="829"/>
      <c r="E31" s="829"/>
      <c r="F31" s="829"/>
      <c r="G31" s="830"/>
      <c r="H31" s="830"/>
      <c r="I31" s="831"/>
    </row>
    <row r="32" spans="2:9">
      <c r="B32" s="820"/>
      <c r="C32" s="832" t="s">
        <v>22</v>
      </c>
      <c r="D32" s="829"/>
      <c r="E32" s="829"/>
      <c r="F32" s="829"/>
      <c r="G32" s="830"/>
      <c r="H32" s="830"/>
      <c r="I32" s="831"/>
    </row>
    <row r="33" spans="2:9">
      <c r="B33" s="820"/>
      <c r="C33" s="832" t="s">
        <v>23</v>
      </c>
      <c r="D33" s="829"/>
      <c r="E33" s="829"/>
      <c r="F33" s="829"/>
      <c r="G33" s="830"/>
      <c r="H33" s="830"/>
      <c r="I33" s="831"/>
    </row>
    <row r="34" spans="2:9">
      <c r="B34" s="820"/>
      <c r="C34" s="832"/>
      <c r="D34" s="829"/>
      <c r="E34" s="829"/>
      <c r="F34" s="829"/>
      <c r="G34" s="830"/>
      <c r="H34" s="830"/>
      <c r="I34" s="831"/>
    </row>
    <row r="35" spans="2:9">
      <c r="B35" s="820"/>
      <c r="C35" s="832" t="s">
        <v>24</v>
      </c>
      <c r="D35" s="830"/>
      <c r="E35" s="830"/>
      <c r="F35" s="830"/>
      <c r="G35" s="830"/>
      <c r="H35" s="830"/>
      <c r="I35" s="831"/>
    </row>
    <row r="36" spans="2:9">
      <c r="B36" s="820"/>
      <c r="C36" s="839"/>
      <c r="D36" s="839"/>
      <c r="E36" s="839"/>
      <c r="F36" s="839"/>
      <c r="G36" s="830"/>
      <c r="H36" s="830"/>
      <c r="I36" s="831"/>
    </row>
    <row r="37" spans="2:9">
      <c r="B37" s="820"/>
      <c r="C37" s="839"/>
      <c r="D37" s="839"/>
      <c r="E37" s="839"/>
      <c r="F37" s="839"/>
      <c r="G37" s="830"/>
      <c r="H37" s="830"/>
      <c r="I37" s="831"/>
    </row>
    <row r="38" spans="2:9">
      <c r="B38" s="820"/>
      <c r="C38" s="839"/>
      <c r="D38" s="839"/>
      <c r="E38" s="839"/>
      <c r="F38" s="839"/>
      <c r="G38" s="830"/>
      <c r="H38" s="830"/>
      <c r="I38" s="831"/>
    </row>
    <row r="39" spans="2:9">
      <c r="B39" s="820"/>
      <c r="C39" s="41" t="s">
        <v>25</v>
      </c>
      <c r="D39" s="41"/>
      <c r="E39" s="41"/>
      <c r="F39" s="41"/>
      <c r="G39" s="41"/>
      <c r="H39" s="41"/>
      <c r="I39" s="824"/>
    </row>
    <row r="40" spans="2:9">
      <c r="B40" s="820"/>
      <c r="I40" s="822"/>
    </row>
    <row r="41" spans="2:9">
      <c r="B41" s="820"/>
      <c r="I41" s="824"/>
    </row>
    <row r="42" spans="2:9">
      <c r="B42" s="820"/>
      <c r="C42" s="840" t="s">
        <v>26</v>
      </c>
      <c r="D42" s="840"/>
      <c r="E42" s="840"/>
      <c r="F42" s="841"/>
      <c r="G42" s="840" t="s">
        <v>27</v>
      </c>
      <c r="H42" s="840"/>
      <c r="I42" s="822"/>
    </row>
    <row r="43" spans="2:9">
      <c r="B43" s="820"/>
      <c r="C43" s="842" t="s">
        <v>28</v>
      </c>
      <c r="D43" s="842" t="s">
        <v>29</v>
      </c>
      <c r="E43" s="843" t="s">
        <v>30</v>
      </c>
      <c r="G43" s="842" t="s">
        <v>31</v>
      </c>
      <c r="H43" s="842" t="s">
        <v>32</v>
      </c>
      <c r="I43" s="844"/>
    </row>
    <row r="44" spans="2:9">
      <c r="B44" s="820"/>
      <c r="C44" s="845"/>
      <c r="D44" s="845"/>
      <c r="E44" s="846"/>
      <c r="G44" s="845"/>
      <c r="H44" s="845"/>
      <c r="I44" s="844"/>
    </row>
    <row r="45" spans="2:9">
      <c r="B45" s="820"/>
      <c r="C45" s="847">
        <v>0</v>
      </c>
      <c r="D45" s="848" t="s">
        <v>33</v>
      </c>
      <c r="E45" s="847">
        <v>1</v>
      </c>
      <c r="G45" s="849">
        <v>0</v>
      </c>
      <c r="H45" s="849">
        <v>0</v>
      </c>
      <c r="I45" s="824"/>
    </row>
    <row r="46" spans="2:9">
      <c r="B46" s="820"/>
      <c r="C46" s="850"/>
      <c r="D46" s="851"/>
      <c r="E46" s="850"/>
      <c r="G46" s="852"/>
      <c r="H46" s="852"/>
      <c r="I46" s="824"/>
    </row>
    <row r="47" spans="2:9">
      <c r="B47" s="820"/>
      <c r="C47" s="850"/>
      <c r="D47" s="851"/>
      <c r="E47" s="850"/>
      <c r="G47" s="852"/>
      <c r="H47" s="852"/>
      <c r="I47" s="824"/>
    </row>
    <row r="48" spans="2:9">
      <c r="B48" s="820"/>
      <c r="C48" s="850"/>
      <c r="D48" s="851"/>
      <c r="E48" s="850"/>
      <c r="G48" s="852"/>
      <c r="H48" s="852"/>
      <c r="I48" s="824"/>
    </row>
    <row r="49" spans="2:9">
      <c r="B49" s="820"/>
      <c r="C49" s="840" t="s">
        <v>34</v>
      </c>
      <c r="D49" s="840"/>
      <c r="E49" s="840"/>
      <c r="F49" s="841"/>
      <c r="G49" s="840" t="s">
        <v>27</v>
      </c>
      <c r="H49" s="840"/>
      <c r="I49" s="824"/>
    </row>
    <row r="50" spans="2:9">
      <c r="B50" s="820"/>
      <c r="C50" s="842" t="s">
        <v>28</v>
      </c>
      <c r="D50" s="842" t="s">
        <v>29</v>
      </c>
      <c r="E50" s="843" t="s">
        <v>30</v>
      </c>
      <c r="G50" s="842" t="s">
        <v>31</v>
      </c>
      <c r="H50" s="842" t="s">
        <v>32</v>
      </c>
      <c r="I50" s="824"/>
    </row>
    <row r="51" spans="2:9">
      <c r="B51" s="820"/>
      <c r="C51" s="845"/>
      <c r="D51" s="845"/>
      <c r="E51" s="846"/>
      <c r="G51" s="845"/>
      <c r="H51" s="845"/>
      <c r="I51" s="824"/>
    </row>
    <row r="52" ht="14.25" customHeight="1" spans="2:9">
      <c r="B52" s="820"/>
      <c r="C52" s="847">
        <v>0</v>
      </c>
      <c r="D52" s="848" t="s">
        <v>33</v>
      </c>
      <c r="E52" s="847">
        <v>1</v>
      </c>
      <c r="G52" s="849">
        <v>0</v>
      </c>
      <c r="H52" s="849">
        <v>0</v>
      </c>
      <c r="I52" s="824"/>
    </row>
    <row r="53" ht="14.25" customHeight="1" spans="2:9">
      <c r="B53" s="820"/>
      <c r="C53" s="850"/>
      <c r="D53" s="851"/>
      <c r="E53" s="850"/>
      <c r="G53" s="852"/>
      <c r="H53" s="852"/>
      <c r="I53" s="824"/>
    </row>
    <row r="54" ht="14.25" customHeight="1" spans="2:9">
      <c r="B54" s="820"/>
      <c r="C54" s="850"/>
      <c r="D54" s="851"/>
      <c r="E54" s="850"/>
      <c r="G54" s="852"/>
      <c r="H54" s="852"/>
      <c r="I54" s="824"/>
    </row>
    <row r="55" spans="2:9">
      <c r="B55" s="820"/>
      <c r="C55" s="850"/>
      <c r="D55" s="851"/>
      <c r="E55" s="850"/>
      <c r="G55" s="850"/>
      <c r="H55" s="850"/>
      <c r="I55" s="824"/>
    </row>
    <row r="56" spans="2:9">
      <c r="B56" s="853"/>
      <c r="C56" s="854"/>
      <c r="D56" s="854"/>
      <c r="E56" s="854"/>
      <c r="F56" s="854"/>
      <c r="G56" s="854"/>
      <c r="H56" s="854"/>
      <c r="I56" s="855"/>
    </row>
  </sheetData>
  <mergeCells count="23">
    <mergeCell ref="C3:H3"/>
    <mergeCell ref="B5:I5"/>
    <mergeCell ref="C6:H6"/>
    <mergeCell ref="C8:H8"/>
    <mergeCell ref="C9:H9"/>
    <mergeCell ref="C17:D17"/>
    <mergeCell ref="C20:I20"/>
    <mergeCell ref="C39:H39"/>
    <mergeCell ref="C42:E42"/>
    <mergeCell ref="G42:H42"/>
    <mergeCell ref="C49:E49"/>
    <mergeCell ref="G49:H49"/>
    <mergeCell ref="C43:C44"/>
    <mergeCell ref="C50:C51"/>
    <mergeCell ref="D43:D44"/>
    <mergeCell ref="D50:D51"/>
    <mergeCell ref="E43:E44"/>
    <mergeCell ref="E50:E51"/>
    <mergeCell ref="G43:G44"/>
    <mergeCell ref="G50:G51"/>
    <mergeCell ref="H43:H44"/>
    <mergeCell ref="H50:H51"/>
    <mergeCell ref="I43:I44"/>
  </mergeCells>
  <pageMargins left="0.708661417322835" right="0.708661417322835" top="0.748031496062992" bottom="0.748031496062992" header="0.31496062992126" footer="0.31496062992126"/>
  <pageSetup paperSize="9" scale="85" orientation="portrait" blackAndWhite="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O40"/>
  <sheetViews>
    <sheetView showGridLines="0" zoomScale="75" zoomScaleNormal="75" workbookViewId="0">
      <selection activeCell="H7" sqref="H7"/>
    </sheetView>
  </sheetViews>
  <sheetFormatPr defaultColWidth="11.4259259259259" defaultRowHeight="13.2"/>
  <cols>
    <col min="1" max="1" width="2.85185185185185" style="135" customWidth="1"/>
    <col min="2" max="2" width="13.712962962963" style="135" customWidth="1"/>
    <col min="3" max="3" width="30.712962962963" style="135" customWidth="1"/>
    <col min="4" max="4" width="6.71296296296296" style="135" customWidth="1"/>
    <col min="5" max="5" width="21.712962962963" style="135" customWidth="1"/>
    <col min="6" max="6" width="9.42592592592593" style="135" customWidth="1"/>
    <col min="7" max="7" width="9.85185185185185" style="135" customWidth="1"/>
    <col min="8" max="9" width="10.712962962963" style="135" customWidth="1"/>
    <col min="10" max="10" width="26.1388888888889" style="135" customWidth="1"/>
    <col min="11" max="11" width="23.4259259259259" style="135" customWidth="1"/>
    <col min="12" max="12" width="11.5740740740741" style="135" customWidth="1"/>
    <col min="13" max="13" width="12.712962962963" style="135" customWidth="1"/>
    <col min="14" max="14" width="3.71296296296296" style="135" customWidth="1"/>
    <col min="15" max="16384" width="11.4259259259259" style="135"/>
  </cols>
  <sheetData>
    <row r="1" s="75" customFormat="1" ht="12" customHeight="1" spans="2:15">
      <c r="B1" s="757"/>
      <c r="C1" s="639"/>
      <c r="D1" s="639"/>
      <c r="E1" s="639"/>
      <c r="F1" s="639"/>
      <c r="G1" s="639"/>
      <c r="H1" s="639"/>
      <c r="I1" s="639"/>
      <c r="J1" s="639"/>
      <c r="K1" s="639"/>
      <c r="L1" s="639"/>
      <c r="M1" s="639"/>
    </row>
    <row r="2" s="75" customFormat="1" ht="18.95" customHeight="1" spans="2:15">
      <c r="B2" s="758" t="s">
        <v>0</v>
      </c>
      <c r="C2" s="759"/>
      <c r="D2" s="759"/>
      <c r="E2" s="759"/>
      <c r="F2" s="759"/>
      <c r="G2" s="759"/>
      <c r="H2" s="759"/>
      <c r="I2" s="759"/>
      <c r="J2" s="759"/>
      <c r="K2" s="759"/>
      <c r="L2" s="759"/>
      <c r="M2" s="760"/>
      <c r="O2" s="135"/>
    </row>
    <row r="3" ht="48.75" customHeight="1" spans="2:15">
      <c r="B3" s="761" t="s">
        <v>35</v>
      </c>
      <c r="C3" s="762"/>
      <c r="D3" s="762"/>
      <c r="E3" s="762"/>
      <c r="F3" s="762"/>
      <c r="G3" s="762"/>
      <c r="H3" s="762"/>
      <c r="I3" s="762"/>
      <c r="J3" s="762"/>
      <c r="K3" s="762"/>
      <c r="L3" s="762"/>
      <c r="M3" s="763"/>
    </row>
    <row r="4" ht="15" customHeight="1" spans="2:15">
      <c r="B4" s="764"/>
      <c r="C4" s="765"/>
      <c r="D4" s="765"/>
      <c r="E4" s="766"/>
      <c r="F4" s="767" t="s">
        <v>17</v>
      </c>
      <c r="G4" s="768" t="s">
        <v>17</v>
      </c>
      <c r="H4" s="764"/>
      <c r="I4" s="765"/>
      <c r="J4" s="765"/>
      <c r="K4" s="766"/>
      <c r="L4" s="767" t="s">
        <v>17</v>
      </c>
      <c r="M4" s="768" t="s">
        <v>17</v>
      </c>
    </row>
    <row r="5" ht="17.1" customHeight="1" spans="2:15">
      <c r="B5" s="769" t="s">
        <v>36</v>
      </c>
      <c r="C5" s="249"/>
      <c r="D5" s="249"/>
      <c r="E5" s="84"/>
      <c r="F5" s="770" t="s">
        <v>37</v>
      </c>
      <c r="G5" s="771" t="s">
        <v>37</v>
      </c>
      <c r="H5" s="769" t="s">
        <v>38</v>
      </c>
      <c r="I5" s="138"/>
      <c r="J5" s="138"/>
      <c r="K5" s="138"/>
      <c r="L5" s="772" t="s">
        <v>37</v>
      </c>
      <c r="M5" s="773" t="s">
        <v>37</v>
      </c>
    </row>
    <row r="6" ht="17.1" customHeight="1" spans="2:15">
      <c r="B6" s="774" t="s">
        <v>39</v>
      </c>
      <c r="C6" s="138"/>
      <c r="D6" s="138"/>
      <c r="E6" s="138"/>
      <c r="F6" s="775"/>
      <c r="G6" s="776"/>
      <c r="H6" s="774" t="s">
        <v>40</v>
      </c>
      <c r="I6" s="138"/>
      <c r="J6" s="138"/>
      <c r="K6" s="138"/>
      <c r="L6" s="777"/>
      <c r="M6" s="778"/>
    </row>
    <row r="7" ht="17.1" customHeight="1" spans="2:15">
      <c r="B7" s="779" t="s">
        <v>41</v>
      </c>
      <c r="C7" s="138"/>
      <c r="D7" s="780"/>
      <c r="E7" s="728" t="s">
        <v>42</v>
      </c>
      <c r="F7" s="781">
        <v>0</v>
      </c>
      <c r="G7" s="782">
        <v>0</v>
      </c>
      <c r="H7" s="779" t="s">
        <v>43</v>
      </c>
      <c r="I7" s="138"/>
      <c r="J7" s="138"/>
      <c r="K7" s="728" t="s">
        <v>44</v>
      </c>
      <c r="L7" s="781">
        <v>0</v>
      </c>
      <c r="M7" s="782">
        <v>0</v>
      </c>
    </row>
    <row r="8" ht="17.1" customHeight="1" spans="2:15">
      <c r="B8" s="779" t="s">
        <v>45</v>
      </c>
      <c r="C8" s="138"/>
      <c r="D8" s="780"/>
      <c r="E8" s="728" t="s">
        <v>46</v>
      </c>
      <c r="F8" s="781">
        <v>0</v>
      </c>
      <c r="G8" s="782">
        <v>0</v>
      </c>
      <c r="H8" s="779" t="s">
        <v>47</v>
      </c>
      <c r="I8" s="138"/>
      <c r="J8" s="138"/>
      <c r="K8" s="728" t="s">
        <v>48</v>
      </c>
      <c r="L8" s="781">
        <v>0</v>
      </c>
      <c r="M8" s="782">
        <v>0</v>
      </c>
    </row>
    <row r="9" ht="17.1" customHeight="1" spans="2:15">
      <c r="B9" s="779" t="s">
        <v>49</v>
      </c>
      <c r="C9" s="138"/>
      <c r="D9" s="780"/>
      <c r="E9" s="728" t="s">
        <v>50</v>
      </c>
      <c r="F9" s="781">
        <v>0</v>
      </c>
      <c r="G9" s="782">
        <v>0</v>
      </c>
      <c r="H9" s="779" t="s">
        <v>51</v>
      </c>
      <c r="I9" s="138"/>
      <c r="J9" s="138"/>
      <c r="K9" s="728" t="s">
        <v>52</v>
      </c>
      <c r="L9" s="781">
        <v>0</v>
      </c>
      <c r="M9" s="782">
        <v>0</v>
      </c>
    </row>
    <row r="10" ht="17.1" customHeight="1" spans="2:15">
      <c r="B10" s="779" t="s">
        <v>53</v>
      </c>
      <c r="C10" s="138"/>
      <c r="D10" s="780"/>
      <c r="E10" s="728" t="s">
        <v>54</v>
      </c>
      <c r="F10" s="781">
        <v>0</v>
      </c>
      <c r="G10" s="782">
        <v>0</v>
      </c>
      <c r="H10" s="779" t="s">
        <v>55</v>
      </c>
      <c r="I10" s="138"/>
      <c r="J10" s="138"/>
      <c r="K10" s="728" t="s">
        <v>56</v>
      </c>
      <c r="L10" s="781">
        <v>0</v>
      </c>
      <c r="M10" s="782">
        <v>0</v>
      </c>
    </row>
    <row r="11" ht="17.1" customHeight="1" spans="2:15">
      <c r="B11" s="779" t="s">
        <v>57</v>
      </c>
      <c r="C11" s="138"/>
      <c r="D11" s="780"/>
      <c r="E11" s="728" t="s">
        <v>58</v>
      </c>
      <c r="F11" s="781">
        <v>0</v>
      </c>
      <c r="G11" s="782">
        <v>0</v>
      </c>
      <c r="H11" s="779" t="s">
        <v>59</v>
      </c>
      <c r="I11" s="138"/>
      <c r="J11" s="138"/>
      <c r="K11" s="728" t="s">
        <v>60</v>
      </c>
      <c r="L11" s="781">
        <v>0</v>
      </c>
      <c r="M11" s="782">
        <v>0</v>
      </c>
    </row>
    <row r="12" ht="17.1" customHeight="1" spans="2:15">
      <c r="B12" s="779" t="s">
        <v>61</v>
      </c>
      <c r="C12" s="138"/>
      <c r="D12" s="780"/>
      <c r="E12" s="728" t="s">
        <v>62</v>
      </c>
      <c r="F12" s="781">
        <v>0</v>
      </c>
      <c r="G12" s="782">
        <v>0</v>
      </c>
      <c r="H12" s="779" t="s">
        <v>63</v>
      </c>
      <c r="I12" s="138"/>
      <c r="J12" s="138"/>
      <c r="K12" s="728" t="s">
        <v>64</v>
      </c>
      <c r="L12" s="781">
        <v>0</v>
      </c>
      <c r="M12" s="782">
        <v>0</v>
      </c>
    </row>
    <row r="13" ht="17.1" customHeight="1" spans="2:15">
      <c r="B13" s="779" t="s">
        <v>65</v>
      </c>
      <c r="C13" s="138"/>
      <c r="D13" s="780"/>
      <c r="E13" s="728" t="s">
        <v>66</v>
      </c>
      <c r="F13" s="781">
        <v>0</v>
      </c>
      <c r="G13" s="782">
        <v>0</v>
      </c>
      <c r="H13" s="779" t="s">
        <v>67</v>
      </c>
      <c r="I13" s="189"/>
      <c r="J13" s="189"/>
      <c r="K13" s="728" t="s">
        <v>68</v>
      </c>
      <c r="L13" s="781">
        <v>0</v>
      </c>
      <c r="M13" s="782">
        <v>0</v>
      </c>
    </row>
    <row r="14" ht="17.1" customHeight="1" spans="2:15">
      <c r="B14" s="779" t="s">
        <v>69</v>
      </c>
      <c r="C14" s="138"/>
      <c r="D14" s="780"/>
      <c r="E14" s="728" t="s">
        <v>70</v>
      </c>
      <c r="F14" s="781">
        <v>0</v>
      </c>
      <c r="G14" s="782">
        <v>0</v>
      </c>
      <c r="H14" s="779" t="s">
        <v>71</v>
      </c>
      <c r="I14" s="138"/>
      <c r="J14" s="138"/>
      <c r="K14" s="728" t="s">
        <v>72</v>
      </c>
      <c r="L14" s="781">
        <v>0</v>
      </c>
      <c r="M14" s="782">
        <v>0</v>
      </c>
    </row>
    <row r="15" ht="16.5" customHeight="1" spans="2:15">
      <c r="B15" s="779" t="s">
        <v>73</v>
      </c>
      <c r="C15" s="138"/>
      <c r="D15" s="780"/>
      <c r="E15" s="728" t="s">
        <v>74</v>
      </c>
      <c r="F15" s="781">
        <v>0</v>
      </c>
      <c r="G15" s="782">
        <v>0</v>
      </c>
      <c r="H15" s="783" t="s">
        <v>75</v>
      </c>
      <c r="I15" s="138"/>
      <c r="J15" s="138"/>
      <c r="K15" s="784" t="s">
        <v>76</v>
      </c>
      <c r="L15" s="781">
        <v>0</v>
      </c>
      <c r="M15" s="782">
        <v>0</v>
      </c>
    </row>
    <row r="16" ht="17.1" customHeight="1" spans="2:15">
      <c r="B16" s="779" t="s">
        <v>77</v>
      </c>
      <c r="C16" s="138"/>
      <c r="D16" s="780"/>
      <c r="E16" s="728" t="s">
        <v>78</v>
      </c>
      <c r="F16" s="781">
        <v>0</v>
      </c>
      <c r="G16" s="782">
        <v>0</v>
      </c>
      <c r="H16" s="783"/>
      <c r="I16" s="138"/>
      <c r="J16" s="138"/>
      <c r="K16" s="784"/>
      <c r="L16" s="781"/>
      <c r="M16" s="782"/>
    </row>
    <row r="17" ht="15.15" spans="2:13">
      <c r="B17" s="779" t="s">
        <v>79</v>
      </c>
      <c r="C17" s="138"/>
      <c r="D17" s="780"/>
      <c r="E17" s="728" t="s">
        <v>80</v>
      </c>
      <c r="F17" s="781">
        <v>0</v>
      </c>
      <c r="G17" s="782">
        <v>0</v>
      </c>
      <c r="H17" s="783"/>
      <c r="I17" s="138"/>
      <c r="J17" s="138"/>
      <c r="K17" s="784"/>
      <c r="L17" s="781"/>
      <c r="M17" s="782"/>
    </row>
    <row r="18" ht="17.1" customHeight="1" spans="2:13">
      <c r="B18" s="785" t="s">
        <v>81</v>
      </c>
      <c r="C18" s="786"/>
      <c r="D18" s="787"/>
      <c r="E18" s="788"/>
      <c r="F18" s="700">
        <f>SUM(F7:F17)</f>
        <v>0</v>
      </c>
      <c r="G18" s="789">
        <f>SUM(G7:G17)</f>
        <v>0</v>
      </c>
      <c r="H18" s="785" t="s">
        <v>82</v>
      </c>
      <c r="I18" s="787"/>
      <c r="J18" s="787"/>
      <c r="K18" s="788"/>
      <c r="L18" s="700">
        <f>SUM(L7:L17)</f>
        <v>0</v>
      </c>
      <c r="M18" s="700">
        <f>SUM(M7:M17)</f>
        <v>0</v>
      </c>
    </row>
    <row r="19" ht="15.95" customHeight="1" spans="2:13">
      <c r="B19" s="774" t="s">
        <v>83</v>
      </c>
      <c r="C19" s="138"/>
      <c r="D19" s="780"/>
      <c r="E19" s="728"/>
      <c r="F19" s="747"/>
      <c r="G19" s="782"/>
      <c r="H19" s="774" t="s">
        <v>84</v>
      </c>
      <c r="I19" s="138"/>
      <c r="J19" s="138"/>
      <c r="K19" s="640"/>
      <c r="L19" s="790"/>
      <c r="M19" s="739"/>
    </row>
    <row r="20" ht="15.95" customHeight="1" spans="2:13">
      <c r="B20" s="779" t="s">
        <v>45</v>
      </c>
      <c r="C20" s="138"/>
      <c r="D20" s="780"/>
      <c r="E20" s="728" t="s">
        <v>85</v>
      </c>
      <c r="F20" s="747">
        <v>0</v>
      </c>
      <c r="G20" s="782">
        <v>0</v>
      </c>
      <c r="H20" s="779" t="s">
        <v>43</v>
      </c>
      <c r="K20" s="728" t="s">
        <v>44</v>
      </c>
      <c r="L20" s="791">
        <v>0</v>
      </c>
      <c r="M20" s="739">
        <v>0</v>
      </c>
    </row>
    <row r="21" ht="17.1" customHeight="1" spans="2:13">
      <c r="B21" s="779" t="s">
        <v>49</v>
      </c>
      <c r="E21" s="728" t="s">
        <v>50</v>
      </c>
      <c r="F21" s="747">
        <v>0</v>
      </c>
      <c r="G21" s="782">
        <v>0</v>
      </c>
      <c r="H21" s="779" t="s">
        <v>47</v>
      </c>
      <c r="I21" s="198"/>
      <c r="J21" s="198"/>
      <c r="K21" s="728" t="s">
        <v>48</v>
      </c>
      <c r="L21" s="790">
        <v>0</v>
      </c>
      <c r="M21" s="739">
        <v>0</v>
      </c>
    </row>
    <row r="22" s="198" customFormat="1" ht="17.1" customHeight="1" spans="2:13">
      <c r="B22" s="779" t="s">
        <v>53</v>
      </c>
      <c r="C22" s="135"/>
      <c r="D22" s="135"/>
      <c r="E22" s="728" t="s">
        <v>54</v>
      </c>
      <c r="F22" s="747">
        <v>0</v>
      </c>
      <c r="G22" s="782">
        <v>0</v>
      </c>
      <c r="H22" s="779" t="s">
        <v>51</v>
      </c>
      <c r="K22" s="728" t="s">
        <v>52</v>
      </c>
      <c r="L22" s="790">
        <v>0</v>
      </c>
      <c r="M22" s="739">
        <v>0</v>
      </c>
    </row>
    <row r="23" s="198" customFormat="1" ht="15" customHeight="1" spans="2:13">
      <c r="B23" s="779" t="s">
        <v>57</v>
      </c>
      <c r="E23" s="728" t="s">
        <v>58</v>
      </c>
      <c r="F23" s="747">
        <v>0</v>
      </c>
      <c r="G23" s="782">
        <v>0</v>
      </c>
      <c r="H23" s="779" t="s">
        <v>55</v>
      </c>
      <c r="I23" s="135"/>
      <c r="J23" s="135"/>
      <c r="K23" s="728" t="s">
        <v>56</v>
      </c>
      <c r="L23" s="790">
        <v>0</v>
      </c>
      <c r="M23" s="739">
        <v>0</v>
      </c>
    </row>
    <row r="24" ht="17.1" customHeight="1" spans="2:13">
      <c r="B24" s="779" t="s">
        <v>86</v>
      </c>
      <c r="C24" s="138"/>
      <c r="D24" s="780"/>
      <c r="E24" s="728" t="s">
        <v>62</v>
      </c>
      <c r="F24" s="747">
        <v>0</v>
      </c>
      <c r="G24" s="782">
        <v>0</v>
      </c>
      <c r="H24" s="779" t="s">
        <v>59</v>
      </c>
      <c r="K24" s="728" t="s">
        <v>60</v>
      </c>
      <c r="L24" s="790">
        <v>0</v>
      </c>
      <c r="M24" s="739">
        <v>0</v>
      </c>
    </row>
    <row r="25" ht="17.1" customHeight="1" spans="2:13">
      <c r="B25" s="779" t="s">
        <v>65</v>
      </c>
      <c r="C25" s="138"/>
      <c r="D25" s="780"/>
      <c r="E25" s="728" t="s">
        <v>66</v>
      </c>
      <c r="F25" s="747">
        <v>0</v>
      </c>
      <c r="G25" s="782">
        <v>0</v>
      </c>
      <c r="H25" s="779" t="s">
        <v>87</v>
      </c>
      <c r="K25" s="728" t="s">
        <v>64</v>
      </c>
      <c r="L25" s="790">
        <v>0</v>
      </c>
      <c r="M25" s="739">
        <v>0</v>
      </c>
    </row>
    <row r="26" ht="17.1" customHeight="1" spans="2:13">
      <c r="B26" s="779" t="s">
        <v>69</v>
      </c>
      <c r="C26" s="138"/>
      <c r="D26" s="138"/>
      <c r="E26" s="728" t="s">
        <v>70</v>
      </c>
      <c r="F26" s="747">
        <v>0</v>
      </c>
      <c r="G26" s="782">
        <v>0</v>
      </c>
      <c r="H26" s="779" t="s">
        <v>67</v>
      </c>
      <c r="K26" s="728" t="s">
        <v>68</v>
      </c>
      <c r="L26" s="790">
        <v>0</v>
      </c>
      <c r="M26" s="739">
        <v>0</v>
      </c>
    </row>
    <row r="27" ht="17.1" customHeight="1" spans="2:13">
      <c r="B27" s="779" t="s">
        <v>73</v>
      </c>
      <c r="C27" s="138"/>
      <c r="D27" s="138"/>
      <c r="E27" s="728" t="s">
        <v>74</v>
      </c>
      <c r="F27" s="747">
        <v>0</v>
      </c>
      <c r="G27" s="782">
        <v>0</v>
      </c>
      <c r="H27" s="779" t="s">
        <v>71</v>
      </c>
      <c r="K27" s="728" t="s">
        <v>72</v>
      </c>
      <c r="L27" s="790">
        <v>0</v>
      </c>
      <c r="M27" s="739">
        <v>0</v>
      </c>
    </row>
    <row r="28" ht="13.8" spans="2:13">
      <c r="B28" s="779" t="s">
        <v>88</v>
      </c>
      <c r="C28" s="138"/>
      <c r="D28" s="728"/>
      <c r="E28" s="731" t="s">
        <v>89</v>
      </c>
      <c r="F28" s="747">
        <v>0</v>
      </c>
      <c r="G28" s="782">
        <v>0</v>
      </c>
      <c r="H28" s="779" t="s">
        <v>90</v>
      </c>
      <c r="I28" s="138"/>
      <c r="J28" s="138"/>
      <c r="K28" s="728" t="s">
        <v>91</v>
      </c>
      <c r="L28" s="790">
        <v>0</v>
      </c>
      <c r="M28" s="739">
        <v>0</v>
      </c>
    </row>
    <row r="29" ht="13.8" spans="2:13">
      <c r="B29" s="779" t="s">
        <v>92</v>
      </c>
      <c r="C29" s="138"/>
      <c r="D29" s="728"/>
      <c r="E29" s="731" t="s">
        <v>93</v>
      </c>
      <c r="F29" s="747">
        <v>0</v>
      </c>
      <c r="G29" s="782">
        <v>0</v>
      </c>
      <c r="H29" s="779" t="s">
        <v>75</v>
      </c>
      <c r="I29" s="138"/>
      <c r="J29" s="138"/>
      <c r="K29" s="728" t="s">
        <v>76</v>
      </c>
      <c r="L29" s="790">
        <v>0</v>
      </c>
      <c r="M29" s="739">
        <v>0</v>
      </c>
    </row>
    <row r="30" ht="24" customHeight="1" spans="2:13">
      <c r="B30" s="779" t="s">
        <v>94</v>
      </c>
      <c r="C30" s="138"/>
      <c r="D30" s="728"/>
      <c r="E30" s="728" t="s">
        <v>95</v>
      </c>
      <c r="F30" s="747">
        <v>0</v>
      </c>
      <c r="G30" s="782">
        <v>0</v>
      </c>
      <c r="H30" s="779"/>
      <c r="I30" s="792"/>
      <c r="J30" s="138"/>
      <c r="K30" s="731"/>
      <c r="L30" s="793"/>
      <c r="M30" s="794"/>
    </row>
    <row r="31" ht="24.75" customHeight="1" spans="2:13">
      <c r="B31" s="779" t="s">
        <v>96</v>
      </c>
      <c r="C31" s="138"/>
      <c r="D31" s="728"/>
      <c r="E31" s="731" t="s">
        <v>97</v>
      </c>
      <c r="F31" s="747">
        <v>0</v>
      </c>
      <c r="G31" s="795">
        <v>0</v>
      </c>
      <c r="H31" s="796" t="s">
        <v>98</v>
      </c>
      <c r="I31" s="765"/>
      <c r="J31" s="765"/>
      <c r="K31" s="797"/>
      <c r="L31" s="798">
        <f>SUM(L20:L30)</f>
        <v>0</v>
      </c>
      <c r="M31" s="798">
        <f>SUM(M20:M30)</f>
        <v>0</v>
      </c>
    </row>
    <row r="32" ht="18" customHeight="1" spans="2:13">
      <c r="B32" s="779" t="s">
        <v>79</v>
      </c>
      <c r="C32" s="138"/>
      <c r="D32" s="728"/>
      <c r="E32" s="728" t="s">
        <v>80</v>
      </c>
      <c r="F32" s="747">
        <v>0</v>
      </c>
      <c r="G32" s="795">
        <v>0</v>
      </c>
      <c r="H32" s="799" t="s">
        <v>99</v>
      </c>
      <c r="I32" s="800"/>
      <c r="J32" s="800"/>
      <c r="K32" s="801"/>
      <c r="L32" s="798">
        <f>SUM(L18+L31)</f>
        <v>0</v>
      </c>
      <c r="M32" s="798">
        <f>SUM(M18+M31)</f>
        <v>0</v>
      </c>
    </row>
    <row r="33" ht="20.1" customHeight="1" spans="2:13">
      <c r="B33" s="785" t="s">
        <v>100</v>
      </c>
      <c r="C33" s="787"/>
      <c r="D33" s="787"/>
      <c r="E33" s="802"/>
      <c r="F33" s="803">
        <f>SUM(F20:F32)</f>
        <v>0</v>
      </c>
      <c r="G33" s="803">
        <f>SUM(G20:G32)</f>
        <v>0</v>
      </c>
      <c r="H33" s="804" t="s">
        <v>101</v>
      </c>
      <c r="I33" s="787"/>
      <c r="J33" s="787"/>
      <c r="K33" s="805"/>
      <c r="L33" s="806">
        <f>EEPN!O18</f>
        <v>0</v>
      </c>
      <c r="M33" s="806">
        <f>EEPN!P18</f>
        <v>0</v>
      </c>
    </row>
    <row r="34" ht="20.1" customHeight="1" spans="2:13">
      <c r="B34" s="807" t="s">
        <v>102</v>
      </c>
      <c r="C34" s="808"/>
      <c r="D34" s="808"/>
      <c r="E34" s="808"/>
      <c r="F34" s="809">
        <f>SUM(F18+F33)</f>
        <v>0</v>
      </c>
      <c r="G34" s="809">
        <f>SUM(G18+G33)</f>
        <v>0</v>
      </c>
      <c r="H34" s="807" t="s">
        <v>103</v>
      </c>
      <c r="I34" s="810"/>
      <c r="J34" s="808"/>
      <c r="K34" s="811"/>
      <c r="L34" s="812">
        <f>L32+L33</f>
        <v>0</v>
      </c>
      <c r="M34" s="809">
        <f>M32+M33</f>
        <v>0</v>
      </c>
    </row>
    <row r="35" ht="20.1" customHeight="1"/>
    <row r="36" ht="20.1" customHeight="1" spans="2:13">
      <c r="B36" s="135" t="s">
        <v>104</v>
      </c>
      <c r="G36" s="813"/>
    </row>
    <row r="37" ht="15.95" customHeight="1" spans="2:13">
      <c r="B37" s="135" t="s">
        <v>105</v>
      </c>
    </row>
    <row r="38" ht="15.95" customHeight="1" spans="2:13">
      <c r="B38" s="139" t="s">
        <v>106</v>
      </c>
      <c r="C38" s="139"/>
      <c r="H38" s="198"/>
      <c r="I38" s="198"/>
      <c r="J38" s="198"/>
    </row>
    <row r="39" spans="2:13">
      <c r="B39" s="140" t="s">
        <v>107</v>
      </c>
      <c r="C39" s="140"/>
    </row>
    <row r="40" spans="2:13">
      <c r="B40" s="140" t="s">
        <v>108</v>
      </c>
      <c r="C40" s="140"/>
    </row>
  </sheetData>
  <mergeCells count="1">
    <mergeCell ref="B3:M3"/>
  </mergeCells>
  <conditionalFormatting sqref="M15">
    <cfRule type="containsText" dxfId="0" priority="1" stopIfTrue="1" operator="between" text="NAVN">
      <formula>NOT(ISERROR(SEARCH("NAVN",M15)))</formula>
    </cfRule>
  </conditionalFormatting>
  <conditionalFormatting sqref="M17">
    <cfRule type="containsText" dxfId="0" priority="3" stopIfTrue="1" operator="between" text="NAVN">
      <formula>NOT(ISERROR(SEARCH("NAVN",M17)))</formula>
    </cfRule>
  </conditionalFormatting>
  <conditionalFormatting sqref="L18:M18">
    <cfRule type="containsText" dxfId="0" priority="2" stopIfTrue="1" operator="between" text="NAVN">
      <formula>NOT(ISERROR(SEARCH("NAVN",L18)))</formula>
    </cfRule>
  </conditionalFormatting>
  <conditionalFormatting sqref="F5:G6">
    <cfRule type="cellIs" dxfId="1" priority="7" stopIfTrue="1" operator="lessThan">
      <formula>0</formula>
    </cfRule>
  </conditionalFormatting>
  <conditionalFormatting sqref="F7:G33;M16">
    <cfRule type="containsText" dxfId="0" priority="6" stopIfTrue="1" operator="between" text="NAVN">
      <formula>NOT(ISERROR(SEARCH("NAVN",F7)))</formula>
    </cfRule>
  </conditionalFormatting>
  <dataValidations count="2">
    <dataValidation allowBlank="1" showInputMessage="1" showErrorMessage="1" sqref="M15:M17 F7:G33"/>
    <dataValidation type="decimal" operator="greaterThanOrEqual" allowBlank="1" showInputMessage="1" showErrorMessage="1" sqref="F5:G6">
      <formula1>0</formula1>
    </dataValidation>
  </dataValidations>
  <printOptions horizontalCentered="1"/>
  <pageMargins left="0.25" right="0.25" top="0.75" bottom="0.75" header="0.3" footer="0.3"/>
  <pageSetup paperSize="9" scale="69" orientation="landscape" blackAndWhite="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G44"/>
  <sheetViews>
    <sheetView showGridLines="0" zoomScale="75" zoomScaleNormal="75" workbookViewId="0">
      <selection activeCell="A28" sqref="A28"/>
    </sheetView>
  </sheetViews>
  <sheetFormatPr defaultColWidth="11.4259259259259" defaultRowHeight="13.2" outlineLevelCol="6"/>
  <cols>
    <col min="1" max="1" width="2.85185185185185" style="135" customWidth="1"/>
    <col min="2" max="2" width="41" style="135" customWidth="1"/>
    <col min="3" max="3" width="22.287037037037" style="135" customWidth="1"/>
    <col min="4" max="4" width="22.712962962963" style="135" customWidth="1"/>
    <col min="5" max="6" width="16.4259259259259" style="135" customWidth="1"/>
    <col min="7" max="7" width="4.42592592592593" style="135" customWidth="1"/>
    <col min="8" max="16384" width="11.4259259259259" style="135"/>
  </cols>
  <sheetData>
    <row r="1" ht="13.95"/>
    <row r="2" ht="20.1" customHeight="1" spans="2:7">
      <c r="B2" s="144" t="s">
        <v>0</v>
      </c>
      <c r="C2" s="145"/>
      <c r="D2" s="717"/>
      <c r="E2" s="717"/>
      <c r="F2" s="718"/>
    </row>
    <row r="3" ht="21" customHeight="1" spans="2:7">
      <c r="B3" s="148" t="s">
        <v>109</v>
      </c>
      <c r="C3" s="81"/>
      <c r="D3" s="81"/>
      <c r="E3" s="81"/>
      <c r="F3" s="149"/>
    </row>
    <row r="4" ht="25.5" customHeight="1" spans="2:7">
      <c r="B4" s="719" t="s">
        <v>110</v>
      </c>
      <c r="C4" s="84"/>
      <c r="D4" s="84"/>
      <c r="E4" s="84"/>
      <c r="F4" s="150"/>
    </row>
    <row r="5" ht="12.95" customHeight="1" spans="2:7">
      <c r="B5" s="720"/>
      <c r="C5" s="721"/>
      <c r="D5" s="721"/>
      <c r="E5" s="722" t="s">
        <v>17</v>
      </c>
      <c r="F5" s="558" t="s">
        <v>17</v>
      </c>
      <c r="G5" s="723"/>
    </row>
    <row r="6" ht="10.5" customHeight="1" spans="2:7">
      <c r="B6" s="89"/>
      <c r="C6" s="189"/>
      <c r="E6" s="724" t="s">
        <v>37</v>
      </c>
      <c r="F6" s="725" t="s">
        <v>37</v>
      </c>
      <c r="G6" s="645"/>
    </row>
    <row r="7" s="143" customFormat="1" ht="26.25" customHeight="1" spans="2:7">
      <c r="B7" s="726" t="s">
        <v>111</v>
      </c>
      <c r="C7" s="727"/>
      <c r="D7" s="728" t="s">
        <v>112</v>
      </c>
      <c r="E7" s="729">
        <v>0</v>
      </c>
      <c r="F7" s="730">
        <v>0</v>
      </c>
      <c r="G7" s="135"/>
    </row>
    <row r="8" s="143" customFormat="1" ht="23.25" customHeight="1" spans="2:7">
      <c r="B8" s="726" t="s">
        <v>113</v>
      </c>
      <c r="C8" s="727"/>
      <c r="D8" s="731" t="s">
        <v>114</v>
      </c>
      <c r="E8" s="729">
        <v>0</v>
      </c>
      <c r="F8" s="730">
        <v>0</v>
      </c>
      <c r="G8" s="135"/>
    </row>
    <row r="9" s="143" customFormat="1" ht="17.1" customHeight="1" spans="2:7">
      <c r="B9" s="732" t="s">
        <v>115</v>
      </c>
      <c r="C9" s="733"/>
      <c r="D9" s="640"/>
      <c r="E9" s="734">
        <f>E7-E8</f>
        <v>0</v>
      </c>
      <c r="F9" s="735">
        <f>F7-F8</f>
        <v>0</v>
      </c>
      <c r="G9" s="135"/>
    </row>
    <row r="10" s="143" customFormat="1" ht="17.1" customHeight="1" spans="2:7">
      <c r="B10" s="726" t="s">
        <v>116</v>
      </c>
      <c r="C10" s="727"/>
      <c r="D10" s="728" t="s">
        <v>117</v>
      </c>
      <c r="E10" s="729">
        <v>0</v>
      </c>
      <c r="F10" s="730">
        <v>0</v>
      </c>
      <c r="G10" s="135"/>
    </row>
    <row r="11" s="143" customFormat="1" ht="15.95" customHeight="1" spans="2:7">
      <c r="B11" s="736" t="s">
        <v>118</v>
      </c>
      <c r="C11" s="737"/>
      <c r="D11" s="728" t="s">
        <v>117</v>
      </c>
      <c r="E11" s="729">
        <v>0</v>
      </c>
      <c r="F11" s="730">
        <v>0</v>
      </c>
      <c r="G11" s="135"/>
    </row>
    <row r="12" s="143" customFormat="1" ht="17.1" customHeight="1" spans="2:7">
      <c r="B12" s="726" t="s">
        <v>119</v>
      </c>
      <c r="C12" s="727"/>
      <c r="D12" s="728" t="s">
        <v>117</v>
      </c>
      <c r="E12" s="729">
        <v>0</v>
      </c>
      <c r="F12" s="730">
        <v>0</v>
      </c>
      <c r="G12" s="135"/>
    </row>
    <row r="13" s="143" customFormat="1" ht="17.1" customHeight="1" spans="2:7">
      <c r="B13" s="726" t="s">
        <v>120</v>
      </c>
      <c r="C13" s="727"/>
      <c r="D13" s="728" t="s">
        <v>121</v>
      </c>
      <c r="E13" s="729">
        <v>0</v>
      </c>
      <c r="F13" s="730">
        <v>0</v>
      </c>
      <c r="G13" s="135"/>
    </row>
    <row r="14" s="143" customFormat="1" ht="27.75" customHeight="1" spans="2:7">
      <c r="B14" s="726" t="s">
        <v>122</v>
      </c>
      <c r="C14" s="727"/>
      <c r="D14" s="728" t="s">
        <v>123</v>
      </c>
      <c r="E14" s="729">
        <v>0</v>
      </c>
      <c r="F14" s="730">
        <v>0</v>
      </c>
      <c r="G14" s="135"/>
    </row>
    <row r="15" s="143" customFormat="1" ht="27" customHeight="1" spans="2:7">
      <c r="B15" s="726" t="s">
        <v>124</v>
      </c>
      <c r="C15" s="727"/>
      <c r="D15" s="728" t="s">
        <v>125</v>
      </c>
      <c r="E15" s="729">
        <v>0</v>
      </c>
      <c r="F15" s="730">
        <v>0</v>
      </c>
      <c r="G15" s="135"/>
    </row>
    <row r="16" s="143" customFormat="1" ht="17.1" customHeight="1" spans="2:7">
      <c r="B16" s="726" t="s">
        <v>126</v>
      </c>
      <c r="C16" s="727"/>
      <c r="D16" s="728" t="s">
        <v>127</v>
      </c>
      <c r="E16" s="729">
        <v>0</v>
      </c>
      <c r="F16" s="730">
        <v>0</v>
      </c>
      <c r="G16" s="135"/>
    </row>
    <row r="17" s="143" customFormat="1" ht="17.1" customHeight="1" spans="2:7">
      <c r="B17" s="726" t="s">
        <v>128</v>
      </c>
      <c r="C17" s="727"/>
      <c r="D17" s="728" t="s">
        <v>127</v>
      </c>
      <c r="E17" s="729">
        <v>0</v>
      </c>
      <c r="F17" s="730">
        <v>0</v>
      </c>
      <c r="G17" s="135"/>
    </row>
    <row r="18" s="143" customFormat="1" ht="27.75" customHeight="1" spans="2:7">
      <c r="B18" s="732" t="s">
        <v>129</v>
      </c>
      <c r="C18" s="733"/>
      <c r="E18" s="738">
        <f>E9+SUM(E10:E17)</f>
        <v>0</v>
      </c>
      <c r="F18" s="739">
        <f>F9+SUM(F10:F17)</f>
        <v>0</v>
      </c>
      <c r="G18" s="135"/>
    </row>
    <row r="19" s="143" customFormat="1" ht="17.1" customHeight="1" spans="2:7">
      <c r="B19" s="726" t="s">
        <v>130</v>
      </c>
      <c r="C19" s="727"/>
      <c r="D19" s="728" t="s">
        <v>131</v>
      </c>
      <c r="E19" s="740">
        <v>0</v>
      </c>
      <c r="F19" s="741">
        <v>0</v>
      </c>
      <c r="G19" s="135"/>
    </row>
    <row r="20" s="143" customFormat="1" ht="17.1" customHeight="1" spans="2:7">
      <c r="B20" s="742" t="s">
        <v>132</v>
      </c>
      <c r="C20" s="743"/>
      <c r="E20" s="744">
        <f>E18-E19</f>
        <v>0</v>
      </c>
      <c r="F20" s="735">
        <f>F18-F19</f>
        <v>0</v>
      </c>
      <c r="G20" s="135"/>
    </row>
    <row r="21" s="143" customFormat="1" ht="30.75" customHeight="1" spans="2:7">
      <c r="B21" s="745" t="s">
        <v>133</v>
      </c>
      <c r="C21" s="746"/>
      <c r="D21" s="728" t="s">
        <v>134</v>
      </c>
      <c r="E21" s="747">
        <v>0</v>
      </c>
      <c r="F21" s="748">
        <v>0</v>
      </c>
      <c r="G21" s="135"/>
    </row>
    <row r="22" s="143" customFormat="1" ht="17.1" customHeight="1" spans="2:7">
      <c r="B22" s="749" t="s">
        <v>135</v>
      </c>
      <c r="C22" s="750"/>
      <c r="D22" s="751"/>
      <c r="E22" s="752">
        <f>E20+E21</f>
        <v>0</v>
      </c>
      <c r="F22" s="752">
        <v>0</v>
      </c>
      <c r="G22" s="135"/>
    </row>
    <row r="23" s="143" customFormat="1" ht="15.95" customHeight="1" spans="2:7">
      <c r="B23" s="753"/>
      <c r="C23" s="753"/>
      <c r="E23" s="135"/>
      <c r="F23" s="135"/>
      <c r="G23" s="135"/>
    </row>
    <row r="24" s="143" customFormat="1" ht="15.95" customHeight="1" spans="2:7">
      <c r="B24" s="754" t="s">
        <v>104</v>
      </c>
      <c r="C24" s="754"/>
      <c r="D24" s="754"/>
      <c r="E24" s="754"/>
      <c r="F24" s="754"/>
      <c r="G24" s="135"/>
    </row>
    <row r="25" s="143" customFormat="1" ht="14.25" customHeight="1" spans="2:7">
      <c r="B25" s="755" t="s">
        <v>105</v>
      </c>
      <c r="C25" s="203"/>
      <c r="D25" s="203"/>
      <c r="E25" s="203"/>
      <c r="F25" s="203"/>
      <c r="G25" s="135"/>
    </row>
    <row r="26" s="143" customFormat="1" ht="18" customHeight="1" spans="2:7">
      <c r="B26" s="139" t="s">
        <v>106</v>
      </c>
      <c r="E26" s="135"/>
      <c r="F26" s="135"/>
      <c r="G26" s="135"/>
    </row>
    <row r="27" s="143" customFormat="1" ht="18" customHeight="1" spans="2:7">
      <c r="B27" s="140" t="s">
        <v>107</v>
      </c>
      <c r="C27" s="186"/>
    </row>
    <row r="28" ht="18" customHeight="1" spans="2:7">
      <c r="B28" s="140" t="s">
        <v>108</v>
      </c>
    </row>
    <row r="29" spans="2:7">
      <c r="B29" s="591"/>
      <c r="C29" s="756"/>
    </row>
    <row r="30" ht="17.1" customHeight="1" spans="2:7">
      <c r="B30" s="586"/>
      <c r="C30" s="159"/>
    </row>
    <row r="31" ht="17.1" customHeight="1" spans="2:7">
      <c r="C31" s="591"/>
    </row>
    <row r="32" ht="17.1" customHeight="1"/>
    <row r="33" ht="15.95" customHeight="1"/>
    <row r="34" ht="15" customHeight="1" spans="3:3">
      <c r="C34" s="159"/>
    </row>
    <row r="35" ht="15" customHeight="1" spans="3:3">
      <c r="C35" s="591"/>
    </row>
    <row r="36" ht="15.95" customHeight="1" spans="3:3">
      <c r="C36" s="586"/>
    </row>
    <row r="37" ht="15.95" customHeight="1" spans="3:3">
      <c r="C37" s="586"/>
    </row>
    <row r="38" ht="12" customHeight="1"/>
    <row r="39" ht="12" customHeight="1"/>
    <row r="40" ht="12" customHeight="1"/>
    <row r="41" ht="15.95" customHeight="1"/>
    <row r="42" ht="15.95" customHeight="1"/>
    <row r="43" ht="15.95" customHeight="1"/>
    <row r="44" ht="15.95" customHeight="1"/>
  </sheetData>
  <mergeCells count="19">
    <mergeCell ref="B3:F3"/>
    <mergeCell ref="B4:F4"/>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4:F24"/>
  </mergeCells>
  <printOptions horizontalCentered="1"/>
  <pageMargins left="0.25" right="0.25" top="0.75" bottom="0.75" header="0.3" footer="0.3"/>
  <pageSetup paperSize="9" scale="80" orientation="portrait" blackAndWhite="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P27"/>
  <sheetViews>
    <sheetView showGridLines="0" workbookViewId="0">
      <selection activeCell="A1" sqref="A1"/>
    </sheetView>
  </sheetViews>
  <sheetFormatPr defaultColWidth="11.4259259259259" defaultRowHeight="13.2"/>
  <cols>
    <col min="1" max="1" width="2.85185185185185" style="135" customWidth="1"/>
    <col min="2" max="2" width="27.1388888888889" style="135" customWidth="1"/>
    <col min="3" max="3" width="12.5740740740741" style="135" customWidth="1"/>
    <col min="4" max="4" width="12.712962962963" style="135" customWidth="1"/>
    <col min="5" max="5" width="17" style="135" customWidth="1"/>
    <col min="6" max="7" width="12.712962962963" style="135" customWidth="1"/>
    <col min="8" max="8" width="15.4259259259259" style="135" customWidth="1"/>
    <col min="9" max="9" width="13.4259259259259" style="135" customWidth="1"/>
    <col min="10" max="10" width="14.5740740740741" style="135" customWidth="1"/>
    <col min="11" max="11" width="12.8518518518519" style="135" customWidth="1"/>
    <col min="12" max="12" width="14.5740740740741" style="135" customWidth="1"/>
    <col min="13" max="13" width="13.8518518518519" style="135" customWidth="1"/>
    <col min="14" max="14" width="11.8518518518519" style="135" customWidth="1"/>
    <col min="15" max="16" width="16.712962962963" style="135" customWidth="1"/>
    <col min="17" max="17" width="2.71296296296296" style="135" customWidth="1"/>
    <col min="18" max="18" width="11.4259259259259" style="135"/>
    <col min="19" max="19" width="24.1388888888889" style="135" customWidth="1"/>
    <col min="20" max="16384" width="11.4259259259259" style="135"/>
  </cols>
  <sheetData>
    <row r="1" ht="14.1" customHeight="1"/>
    <row r="2" s="75" customFormat="1" ht="20.1" customHeight="1" spans="2:16">
      <c r="B2" s="77" t="s">
        <v>0</v>
      </c>
      <c r="C2" s="665"/>
      <c r="D2" s="665"/>
      <c r="E2" s="665"/>
      <c r="F2" s="665"/>
      <c r="G2" s="665"/>
      <c r="H2" s="665"/>
      <c r="I2" s="665"/>
      <c r="J2" s="665"/>
      <c r="K2" s="665"/>
      <c r="L2" s="665"/>
      <c r="M2" s="665"/>
      <c r="N2" s="665"/>
      <c r="O2" s="665"/>
      <c r="P2" s="666"/>
    </row>
    <row r="3" s="75" customFormat="1" ht="20.1" customHeight="1" spans="2:16">
      <c r="B3" s="80" t="s">
        <v>136</v>
      </c>
      <c r="C3" s="81"/>
      <c r="D3" s="81"/>
      <c r="E3" s="81"/>
      <c r="F3" s="81"/>
      <c r="G3" s="81"/>
      <c r="H3" s="81"/>
      <c r="I3" s="81"/>
      <c r="J3" s="81"/>
      <c r="K3" s="81"/>
      <c r="L3" s="81"/>
      <c r="M3" s="81"/>
      <c r="N3" s="81"/>
      <c r="O3" s="81"/>
      <c r="P3" s="82"/>
    </row>
    <row r="4" s="75" customFormat="1" ht="30" customHeight="1" spans="2:16">
      <c r="B4" s="90" t="s">
        <v>110</v>
      </c>
      <c r="C4" s="667"/>
      <c r="D4" s="667"/>
      <c r="E4" s="667"/>
      <c r="F4" s="667"/>
      <c r="G4" s="667"/>
      <c r="H4" s="667"/>
      <c r="I4" s="667"/>
      <c r="J4" s="667"/>
      <c r="K4" s="667"/>
      <c r="L4" s="667"/>
      <c r="M4" s="667"/>
      <c r="N4" s="667"/>
      <c r="O4" s="667"/>
      <c r="P4" s="668"/>
    </row>
    <row r="5" s="143" customFormat="1" ht="18" customHeight="1" spans="2:16">
      <c r="B5" s="669"/>
      <c r="C5" s="670"/>
      <c r="D5" s="671" t="s">
        <v>137</v>
      </c>
      <c r="E5" s="672"/>
      <c r="F5" s="672"/>
      <c r="G5" s="672"/>
      <c r="H5" s="673"/>
      <c r="I5" s="671" t="s">
        <v>138</v>
      </c>
      <c r="J5" s="672"/>
      <c r="K5" s="672"/>
      <c r="L5" s="672"/>
      <c r="M5" s="672"/>
      <c r="N5" s="673"/>
      <c r="O5" s="93" t="s">
        <v>139</v>
      </c>
      <c r="P5" s="85"/>
    </row>
    <row r="6" s="143" customFormat="1" ht="15.95" customHeight="1" spans="2:16">
      <c r="B6" s="674" t="s">
        <v>140</v>
      </c>
      <c r="C6" s="675"/>
      <c r="D6" s="259" t="s">
        <v>141</v>
      </c>
      <c r="E6" s="259" t="s">
        <v>142</v>
      </c>
      <c r="F6" s="259" t="s">
        <v>143</v>
      </c>
      <c r="G6" s="259" t="s">
        <v>144</v>
      </c>
      <c r="H6" s="649" t="s">
        <v>145</v>
      </c>
      <c r="I6" s="676" t="s">
        <v>146</v>
      </c>
      <c r="J6" s="677"/>
      <c r="K6" s="678"/>
      <c r="L6" s="259" t="s">
        <v>147</v>
      </c>
      <c r="M6" s="259" t="s">
        <v>148</v>
      </c>
      <c r="N6" s="679" t="s">
        <v>145</v>
      </c>
      <c r="O6" s="680" t="s">
        <v>17</v>
      </c>
      <c r="P6" s="680" t="s">
        <v>17</v>
      </c>
    </row>
    <row r="7" s="143" customFormat="1" ht="15" customHeight="1" spans="2:16">
      <c r="B7" s="560"/>
      <c r="C7" s="681"/>
      <c r="D7" s="263"/>
      <c r="E7" s="263"/>
      <c r="F7" s="263"/>
      <c r="G7" s="263"/>
      <c r="H7" s="258"/>
      <c r="I7" s="682" t="s">
        <v>149</v>
      </c>
      <c r="J7" s="682" t="s">
        <v>150</v>
      </c>
      <c r="K7" s="682" t="s">
        <v>145</v>
      </c>
      <c r="L7" s="263"/>
      <c r="M7" s="263"/>
      <c r="N7" s="671"/>
      <c r="O7" s="683"/>
      <c r="P7" s="683"/>
    </row>
    <row r="8" s="143" customFormat="1" ht="15" customHeight="1" spans="2:16">
      <c r="B8" s="684" t="s">
        <v>151</v>
      </c>
      <c r="C8" s="685"/>
      <c r="D8" s="214"/>
      <c r="E8" s="651"/>
      <c r="F8" s="214"/>
      <c r="G8" s="650"/>
      <c r="H8" s="686">
        <f>SUM(D8:G8)</f>
        <v>0</v>
      </c>
      <c r="I8" s="687"/>
      <c r="J8" s="682"/>
      <c r="K8" s="686">
        <f>SUM(I8:J8)</f>
        <v>0</v>
      </c>
      <c r="L8" s="214"/>
      <c r="M8" s="214"/>
      <c r="N8" s="686">
        <f>SUM(K8+L8+M8)</f>
        <v>0</v>
      </c>
      <c r="O8" s="686">
        <f>SUM(H8+N8)</f>
        <v>0</v>
      </c>
      <c r="P8" s="688"/>
    </row>
    <row r="9" s="143" customFormat="1" ht="27.15" spans="2:16">
      <c r="B9" s="689" t="s">
        <v>152</v>
      </c>
      <c r="C9" s="591" t="s">
        <v>153</v>
      </c>
      <c r="D9" s="291"/>
      <c r="E9" s="259"/>
      <c r="F9" s="259"/>
      <c r="G9" s="259"/>
      <c r="H9" s="690">
        <f t="shared" ref="H9:H17" si="0">SUM(D9:G9)</f>
        <v>0</v>
      </c>
      <c r="I9" s="691"/>
      <c r="J9" s="691"/>
      <c r="K9" s="692">
        <f t="shared" ref="K9:K17" si="1">SUM(I9:J9)</f>
        <v>0</v>
      </c>
      <c r="L9" s="259"/>
      <c r="M9" s="259"/>
      <c r="N9" s="693">
        <f t="shared" ref="N9:N17" si="2">SUM(K9+L9+M9)</f>
        <v>0</v>
      </c>
      <c r="O9" s="694">
        <f t="shared" ref="O9:O17" si="3">SUM(H9+N9)</f>
        <v>0</v>
      </c>
      <c r="P9" s="85"/>
    </row>
    <row r="10" s="143" customFormat="1" ht="14.55" spans="2:16">
      <c r="B10" s="695" t="s">
        <v>154</v>
      </c>
      <c r="C10" s="696"/>
      <c r="D10" s="686">
        <f>SUM(D8+D9)</f>
        <v>0</v>
      </c>
      <c r="E10" s="697">
        <f t="shared" ref="E10:G10" si="4">SUM(E8+E9)</f>
        <v>0</v>
      </c>
      <c r="F10" s="697">
        <f t="shared" si="4"/>
        <v>0</v>
      </c>
      <c r="G10" s="697">
        <f t="shared" si="4"/>
        <v>0</v>
      </c>
      <c r="H10" s="698">
        <f t="shared" si="0"/>
        <v>0</v>
      </c>
      <c r="I10" s="697">
        <f>SUM(I8:I9)</f>
        <v>0</v>
      </c>
      <c r="J10" s="697">
        <f>SUM(J8:J9)</f>
        <v>0</v>
      </c>
      <c r="K10" s="686">
        <f t="shared" si="1"/>
        <v>0</v>
      </c>
      <c r="L10" s="699">
        <f>SUM(L8:L9)</f>
        <v>0</v>
      </c>
      <c r="M10" s="699">
        <f>SUM(M8:M9)</f>
        <v>0</v>
      </c>
      <c r="N10" s="698">
        <f t="shared" si="2"/>
        <v>0</v>
      </c>
      <c r="O10" s="700">
        <f t="shared" si="3"/>
        <v>0</v>
      </c>
      <c r="P10" s="701">
        <f>SUM(P8+P9)</f>
        <v>0</v>
      </c>
    </row>
    <row r="11" s="143" customFormat="1" ht="18" customHeight="1" spans="2:16">
      <c r="B11" s="251" t="s">
        <v>155</v>
      </c>
      <c r="C11" s="702" t="s">
        <v>156</v>
      </c>
      <c r="D11" s="703"/>
      <c r="E11" s="703"/>
      <c r="F11" s="703"/>
      <c r="G11" s="703"/>
      <c r="H11" s="690">
        <f t="shared" si="0"/>
        <v>0</v>
      </c>
      <c r="I11" s="703"/>
      <c r="J11" s="703"/>
      <c r="K11" s="704">
        <f t="shared" si="1"/>
        <v>0</v>
      </c>
      <c r="L11" s="703"/>
      <c r="M11" s="703"/>
      <c r="N11" s="690">
        <f t="shared" si="2"/>
        <v>0</v>
      </c>
      <c r="O11" s="694">
        <f t="shared" si="3"/>
        <v>0</v>
      </c>
      <c r="P11" s="705"/>
    </row>
    <row r="12" s="75" customFormat="1" ht="31.5" customHeight="1" spans="2:16">
      <c r="B12" s="202" t="s">
        <v>157</v>
      </c>
      <c r="C12" s="706" t="s">
        <v>158</v>
      </c>
      <c r="D12" s="703"/>
      <c r="E12" s="703"/>
      <c r="F12" s="703"/>
      <c r="G12" s="703"/>
      <c r="H12" s="690">
        <f t="shared" si="0"/>
        <v>0</v>
      </c>
      <c r="I12" s="703"/>
      <c r="J12" s="703"/>
      <c r="K12" s="704">
        <f t="shared" si="1"/>
        <v>0</v>
      </c>
      <c r="L12" s="703"/>
      <c r="M12" s="703"/>
      <c r="N12" s="690">
        <f t="shared" si="2"/>
        <v>0</v>
      </c>
      <c r="O12" s="694">
        <f t="shared" si="3"/>
        <v>0</v>
      </c>
      <c r="P12" s="705"/>
    </row>
    <row r="13" s="75" customFormat="1" ht="15" customHeight="1" spans="2:16">
      <c r="B13" s="664" t="s">
        <v>159</v>
      </c>
      <c r="D13" s="703"/>
      <c r="E13" s="703"/>
      <c r="F13" s="703"/>
      <c r="G13" s="703"/>
      <c r="H13" s="690">
        <f t="shared" si="0"/>
        <v>0</v>
      </c>
      <c r="I13" s="703"/>
      <c r="J13" s="703"/>
      <c r="K13" s="704">
        <f t="shared" si="1"/>
        <v>0</v>
      </c>
      <c r="L13" s="703"/>
      <c r="M13" s="703"/>
      <c r="N13" s="690">
        <f t="shared" si="2"/>
        <v>0</v>
      </c>
      <c r="O13" s="694">
        <f t="shared" si="3"/>
        <v>0</v>
      </c>
      <c r="P13" s="705"/>
    </row>
    <row r="14" s="75" customFormat="1" ht="15" customHeight="1" spans="2:16">
      <c r="B14" s="664" t="s">
        <v>160</v>
      </c>
      <c r="D14" s="703"/>
      <c r="E14" s="703"/>
      <c r="F14" s="703"/>
      <c r="G14" s="703"/>
      <c r="H14" s="690">
        <f t="shared" si="0"/>
        <v>0</v>
      </c>
      <c r="I14" s="703"/>
      <c r="J14" s="703"/>
      <c r="K14" s="704">
        <f t="shared" si="1"/>
        <v>0</v>
      </c>
      <c r="L14" s="703"/>
      <c r="M14" s="703"/>
      <c r="N14" s="690">
        <f t="shared" si="2"/>
        <v>0</v>
      </c>
      <c r="O14" s="694">
        <f t="shared" si="3"/>
        <v>0</v>
      </c>
      <c r="P14" s="705"/>
    </row>
    <row r="15" s="75" customFormat="1" ht="15" customHeight="1" spans="2:16">
      <c r="B15" s="664" t="s">
        <v>161</v>
      </c>
      <c r="D15" s="703"/>
      <c r="E15" s="703"/>
      <c r="F15" s="703"/>
      <c r="G15" s="703"/>
      <c r="H15" s="690">
        <f t="shared" si="0"/>
        <v>0</v>
      </c>
      <c r="I15" s="703"/>
      <c r="J15" s="703"/>
      <c r="K15" s="704">
        <f t="shared" si="1"/>
        <v>0</v>
      </c>
      <c r="L15" s="703"/>
      <c r="M15" s="703"/>
      <c r="N15" s="690">
        <f t="shared" si="2"/>
        <v>0</v>
      </c>
      <c r="O15" s="694">
        <f t="shared" si="3"/>
        <v>0</v>
      </c>
      <c r="P15" s="705"/>
    </row>
    <row r="16" ht="18" customHeight="1" spans="2:16">
      <c r="B16" s="664" t="s">
        <v>162</v>
      </c>
      <c r="D16" s="703"/>
      <c r="E16" s="703"/>
      <c r="F16" s="703"/>
      <c r="G16" s="703"/>
      <c r="H16" s="690">
        <f t="shared" si="0"/>
        <v>0</v>
      </c>
      <c r="I16" s="703"/>
      <c r="J16" s="703"/>
      <c r="K16" s="704">
        <f t="shared" si="1"/>
        <v>0</v>
      </c>
      <c r="L16" s="704"/>
      <c r="M16" s="704"/>
      <c r="N16" s="690">
        <f t="shared" si="2"/>
        <v>0</v>
      </c>
      <c r="O16" s="694">
        <f t="shared" si="3"/>
        <v>0</v>
      </c>
      <c r="P16" s="693"/>
    </row>
    <row r="17" ht="18.6" customHeight="1" spans="2:16">
      <c r="B17" s="251" t="s">
        <v>163</v>
      </c>
      <c r="D17" s="707"/>
      <c r="E17" s="707"/>
      <c r="F17" s="707"/>
      <c r="G17" s="707"/>
      <c r="H17" s="690">
        <f t="shared" si="0"/>
        <v>0</v>
      </c>
      <c r="I17" s="707"/>
      <c r="J17" s="707"/>
      <c r="K17" s="707">
        <f t="shared" si="1"/>
        <v>0</v>
      </c>
      <c r="L17" s="707"/>
      <c r="M17" s="707"/>
      <c r="N17" s="690">
        <f t="shared" si="2"/>
        <v>0</v>
      </c>
      <c r="O17" s="694">
        <f t="shared" si="3"/>
        <v>0</v>
      </c>
      <c r="P17" s="708"/>
    </row>
    <row r="18" ht="18.95" customHeight="1" spans="2:16">
      <c r="B18" s="709" t="s">
        <v>164</v>
      </c>
      <c r="C18" s="710"/>
      <c r="D18" s="711">
        <f>D10+SUM(D11:D17)</f>
        <v>0</v>
      </c>
      <c r="E18" s="711">
        <f t="shared" ref="E18:P18" si="5">E10+SUM(E11:E17)</f>
        <v>0</v>
      </c>
      <c r="F18" s="711">
        <f t="shared" si="5"/>
        <v>0</v>
      </c>
      <c r="G18" s="711">
        <f t="shared" si="5"/>
        <v>0</v>
      </c>
      <c r="H18" s="712">
        <f t="shared" si="5"/>
        <v>0</v>
      </c>
      <c r="I18" s="713">
        <f t="shared" si="5"/>
        <v>0</v>
      </c>
      <c r="J18" s="711">
        <f t="shared" si="5"/>
        <v>0</v>
      </c>
      <c r="K18" s="711">
        <f t="shared" si="5"/>
        <v>0</v>
      </c>
      <c r="L18" s="711">
        <f t="shared" si="5"/>
        <v>0</v>
      </c>
      <c r="M18" s="711">
        <f t="shared" si="5"/>
        <v>0</v>
      </c>
      <c r="N18" s="711">
        <f t="shared" si="5"/>
        <v>0</v>
      </c>
      <c r="O18" s="712">
        <f t="shared" si="5"/>
        <v>0</v>
      </c>
      <c r="P18" s="714">
        <f t="shared" si="5"/>
        <v>0</v>
      </c>
    </row>
    <row r="19" ht="18.95" customHeight="1" spans="2:16">
      <c r="B19" s="189"/>
      <c r="D19" s="690"/>
      <c r="E19" s="690"/>
      <c r="F19" s="690"/>
      <c r="G19" s="690"/>
      <c r="H19" s="690"/>
      <c r="I19" s="690"/>
      <c r="J19" s="690"/>
      <c r="K19" s="690"/>
      <c r="L19" s="690"/>
      <c r="M19" s="690"/>
      <c r="N19" s="690"/>
      <c r="O19" s="690"/>
      <c r="P19" s="690"/>
    </row>
    <row r="20" s="140" customFormat="1" ht="18.95" customHeight="1" spans="2:16">
      <c r="B20" s="715" t="s">
        <v>165</v>
      </c>
      <c r="D20" s="716"/>
      <c r="E20" s="716"/>
      <c r="F20" s="716"/>
      <c r="G20" s="716"/>
      <c r="H20" s="716"/>
      <c r="I20" s="716"/>
      <c r="J20" s="716"/>
      <c r="K20" s="716"/>
      <c r="L20" s="716"/>
      <c r="M20" s="716"/>
      <c r="N20" s="716"/>
      <c r="O20" s="716"/>
      <c r="P20" s="716"/>
    </row>
    <row r="21" s="140" customFormat="1" ht="18.95" customHeight="1" spans="2:16">
      <c r="B21" s="715" t="s">
        <v>166</v>
      </c>
      <c r="D21" s="716"/>
      <c r="E21" s="716"/>
      <c r="F21" s="716"/>
      <c r="G21" s="716"/>
      <c r="H21" s="716"/>
      <c r="I21" s="716"/>
      <c r="J21" s="716"/>
      <c r="K21" s="716"/>
      <c r="L21" s="716"/>
      <c r="M21" s="716"/>
      <c r="N21" s="716"/>
      <c r="O21" s="716"/>
      <c r="P21" s="716"/>
    </row>
    <row r="22" ht="14.1" customHeight="1" spans="2:16">
      <c r="B22" s="186" t="s">
        <v>104</v>
      </c>
    </row>
    <row r="23" ht="18.75" customHeight="1" spans="2:16">
      <c r="B23" s="135" t="s">
        <v>105</v>
      </c>
    </row>
    <row r="24" spans="2:16">
      <c r="B24" s="139" t="s">
        <v>106</v>
      </c>
      <c r="C24" s="159"/>
    </row>
    <row r="25" spans="2:16">
      <c r="B25" s="140" t="s">
        <v>107</v>
      </c>
    </row>
    <row r="26" spans="2:16">
      <c r="B26" s="140" t="s">
        <v>108</v>
      </c>
    </row>
    <row r="27" spans="2:16">
      <c r="B27" s="655"/>
    </row>
  </sheetData>
  <mergeCells count="19">
    <mergeCell ref="B3:P3"/>
    <mergeCell ref="B4:P4"/>
    <mergeCell ref="B5:C5"/>
    <mergeCell ref="D5:H5"/>
    <mergeCell ref="I5:N5"/>
    <mergeCell ref="O5:P5"/>
    <mergeCell ref="B6:C6"/>
    <mergeCell ref="I6:K6"/>
    <mergeCell ref="B7:C7"/>
    <mergeCell ref="D6:D7"/>
    <mergeCell ref="E6:E7"/>
    <mergeCell ref="F6:F7"/>
    <mergeCell ref="G6:G7"/>
    <mergeCell ref="H6:H7"/>
    <mergeCell ref="L6:L7"/>
    <mergeCell ref="M6:M7"/>
    <mergeCell ref="N6:N7"/>
    <mergeCell ref="O6:O7"/>
    <mergeCell ref="P6:P7"/>
  </mergeCells>
  <printOptions horizontalCentered="1"/>
  <pageMargins left="0.25" right="0.25" top="0.75" bottom="0.75" header="0.3" footer="0.3"/>
  <pageSetup paperSize="9" scale="63" orientation="landscape" blackAndWhite="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2"/>
  <sheetViews>
    <sheetView showGridLines="0" zoomScale="75" zoomScaleNormal="75" workbookViewId="0">
      <selection activeCell="B4" sqref="B4:N4"/>
    </sheetView>
  </sheetViews>
  <sheetFormatPr defaultColWidth="11.4259259259259" defaultRowHeight="12.75" customHeight="1"/>
  <cols>
    <col min="1" max="1" width="1.57407407407407" style="138" customWidth="1"/>
    <col min="2" max="2" width="56.5740740740741" style="138" customWidth="1"/>
    <col min="3" max="3" width="11.5740740740741" style="138" customWidth="1"/>
    <col min="4" max="7" width="15.287037037037" style="138" customWidth="1"/>
    <col min="8" max="8" width="15.8518518518519" style="138" customWidth="1"/>
    <col min="9" max="14" width="15.712962962963" style="138" customWidth="1"/>
    <col min="15" max="15" width="4.42592592592593" style="138" customWidth="1"/>
    <col min="16" max="16" width="24.1388888888889" style="138" customWidth="1"/>
    <col min="17" max="17" width="11.4259259259259" style="138" customWidth="1"/>
    <col min="18" max="16384" width="11.4259259259259" style="138"/>
  </cols>
  <sheetData>
    <row r="1" ht="13.5" customHeight="1" spans="1:15">
      <c r="B1" s="191"/>
      <c r="C1" s="191"/>
      <c r="D1" s="191"/>
      <c r="E1" s="191"/>
      <c r="F1" s="191"/>
      <c r="G1" s="191"/>
      <c r="H1" s="191"/>
      <c r="I1" s="191"/>
      <c r="J1" s="191"/>
      <c r="K1" s="191"/>
      <c r="L1" s="191"/>
      <c r="M1" s="191"/>
      <c r="N1" s="191"/>
    </row>
    <row r="2" s="639" customFormat="1" ht="19.5" customHeight="1" spans="1:15">
      <c r="A2" s="191"/>
      <c r="B2" s="192" t="s">
        <v>0</v>
      </c>
      <c r="C2" s="641"/>
      <c r="D2" s="642"/>
      <c r="E2" s="642"/>
      <c r="F2" s="642"/>
      <c r="G2" s="642"/>
      <c r="H2" s="642"/>
      <c r="I2" s="642"/>
      <c r="J2" s="642"/>
      <c r="K2" s="642"/>
      <c r="L2" s="642"/>
      <c r="M2" s="642"/>
      <c r="N2" s="643"/>
    </row>
    <row r="3" s="639" customFormat="1" ht="19.5" customHeight="1" spans="1:15">
      <c r="A3" s="191"/>
      <c r="B3" s="644" t="s">
        <v>136</v>
      </c>
      <c r="C3" s="645"/>
      <c r="D3" s="645"/>
      <c r="E3" s="645"/>
      <c r="F3" s="645"/>
      <c r="G3" s="645"/>
      <c r="H3" s="645"/>
      <c r="I3" s="645"/>
      <c r="J3" s="645"/>
      <c r="K3" s="645"/>
      <c r="L3" s="645"/>
      <c r="M3" s="645"/>
      <c r="N3" s="646"/>
    </row>
    <row r="4" s="639" customFormat="1" ht="30.75" customHeight="1" spans="1:15">
      <c r="A4" s="191"/>
      <c r="B4" s="295" t="s">
        <v>110</v>
      </c>
      <c r="C4" s="84"/>
      <c r="D4" s="84"/>
      <c r="E4" s="84"/>
      <c r="F4" s="84"/>
      <c r="G4" s="84"/>
      <c r="H4" s="84"/>
      <c r="I4" s="84"/>
      <c r="J4" s="84"/>
      <c r="K4" s="84"/>
      <c r="L4" s="84"/>
      <c r="M4" s="84"/>
      <c r="N4" s="85"/>
    </row>
    <row r="5" s="640" customFormat="1" ht="18" customHeight="1" spans="1:15">
      <c r="A5" s="191"/>
      <c r="B5" s="647"/>
      <c r="C5" s="648"/>
      <c r="D5" s="207" t="s">
        <v>167</v>
      </c>
      <c r="E5" s="208"/>
      <c r="F5" s="208"/>
      <c r="G5" s="208"/>
      <c r="H5" s="209"/>
      <c r="I5" s="207" t="s">
        <v>168</v>
      </c>
      <c r="J5" s="208"/>
      <c r="K5" s="208"/>
      <c r="L5" s="208"/>
      <c r="M5" s="208"/>
      <c r="N5" s="257" t="s">
        <v>169</v>
      </c>
    </row>
    <row r="6" s="640" customFormat="1" ht="18.6" customHeight="1" spans="1:15">
      <c r="A6" s="191"/>
      <c r="B6" s="93" t="s">
        <v>140</v>
      </c>
      <c r="C6" s="150"/>
      <c r="D6" s="259" t="s">
        <v>27</v>
      </c>
      <c r="E6" s="259" t="s">
        <v>170</v>
      </c>
      <c r="F6" s="259" t="s">
        <v>143</v>
      </c>
      <c r="G6" s="259" t="s">
        <v>171</v>
      </c>
      <c r="H6" s="649" t="s">
        <v>145</v>
      </c>
      <c r="I6" s="650" t="s">
        <v>146</v>
      </c>
      <c r="J6" s="651"/>
      <c r="K6" s="259" t="s">
        <v>147</v>
      </c>
      <c r="L6" s="259" t="s">
        <v>148</v>
      </c>
      <c r="M6" s="649" t="s">
        <v>145</v>
      </c>
      <c r="N6" s="260"/>
    </row>
    <row r="7" s="640" customFormat="1" ht="39" customHeight="1" spans="1:15">
      <c r="A7" s="191"/>
      <c r="B7" s="652"/>
      <c r="C7" s="653"/>
      <c r="D7" s="291"/>
      <c r="E7" s="291"/>
      <c r="F7" s="291"/>
      <c r="G7" s="291"/>
      <c r="H7" s="258"/>
      <c r="I7" s="654" t="s">
        <v>149</v>
      </c>
      <c r="J7" s="654" t="s">
        <v>150</v>
      </c>
      <c r="K7" s="291"/>
      <c r="L7" s="291"/>
      <c r="M7" s="258"/>
      <c r="N7" s="260"/>
    </row>
    <row r="8" ht="15" customHeight="1" spans="1:15">
      <c r="A8" s="191"/>
      <c r="B8" s="607" t="s">
        <v>172</v>
      </c>
      <c r="C8" s="655"/>
      <c r="D8" s="656"/>
      <c r="E8" s="656"/>
      <c r="F8" s="656"/>
      <c r="G8" s="656"/>
      <c r="H8" s="656">
        <f>SUM(D8:G8)</f>
        <v>0</v>
      </c>
      <c r="I8" s="656"/>
      <c r="J8" s="656"/>
      <c r="K8" s="656"/>
      <c r="L8" s="656"/>
      <c r="M8" s="656">
        <f>SUM(I8:L8)</f>
        <v>0</v>
      </c>
      <c r="N8" s="656">
        <f>SUM(H8+M8)</f>
        <v>0</v>
      </c>
      <c r="O8" s="189"/>
    </row>
    <row r="9" ht="15" customHeight="1" spans="1:15">
      <c r="A9" s="191"/>
      <c r="B9" s="657" t="s">
        <v>173</v>
      </c>
      <c r="C9" s="135" t="s">
        <v>153</v>
      </c>
      <c r="D9" s="658"/>
      <c r="E9" s="658"/>
      <c r="F9" s="658"/>
      <c r="G9" s="658"/>
      <c r="H9" s="658">
        <f t="shared" ref="H9:H23" si="0">SUM(D9:G9)</f>
        <v>0</v>
      </c>
      <c r="I9" s="658"/>
      <c r="J9" s="658"/>
      <c r="K9" s="658"/>
      <c r="L9" s="658"/>
      <c r="M9" s="658">
        <f t="shared" ref="M9:M23" si="1">SUM(I9:L9)</f>
        <v>0</v>
      </c>
      <c r="N9" s="658">
        <f t="shared" ref="N9:N23" si="2">SUM(H9+M9)</f>
        <v>0</v>
      </c>
    </row>
    <row r="10" ht="16.5" customHeight="1" spans="1:15">
      <c r="A10" s="191"/>
      <c r="B10" s="659" t="s">
        <v>174</v>
      </c>
      <c r="C10" s="660"/>
      <c r="D10" s="661">
        <f>D8+D9</f>
        <v>0</v>
      </c>
      <c r="E10" s="661">
        <f t="shared" ref="E10:G10" si="3">E8+E9</f>
        <v>0</v>
      </c>
      <c r="F10" s="661">
        <f t="shared" si="3"/>
        <v>0</v>
      </c>
      <c r="G10" s="661">
        <f t="shared" si="3"/>
        <v>0</v>
      </c>
      <c r="H10" s="661">
        <f t="shared" si="0"/>
        <v>0</v>
      </c>
      <c r="I10" s="661">
        <f t="shared" ref="I10:L10" si="4">I8+I9</f>
        <v>0</v>
      </c>
      <c r="J10" s="661">
        <f t="shared" si="4"/>
        <v>0</v>
      </c>
      <c r="K10" s="661">
        <f t="shared" si="4"/>
        <v>0</v>
      </c>
      <c r="L10" s="661">
        <f t="shared" si="4"/>
        <v>0</v>
      </c>
      <c r="M10" s="661">
        <f t="shared" si="1"/>
        <v>0</v>
      </c>
      <c r="N10" s="661">
        <f t="shared" si="2"/>
        <v>0</v>
      </c>
    </row>
    <row r="11" ht="16.5" customHeight="1" spans="1:15">
      <c r="A11" s="191"/>
      <c r="B11" s="657" t="s">
        <v>175</v>
      </c>
      <c r="C11" s="135"/>
      <c r="D11" s="658"/>
      <c r="E11" s="658"/>
      <c r="F11" s="658"/>
      <c r="G11" s="658"/>
      <c r="H11" s="658">
        <f t="shared" si="0"/>
        <v>0</v>
      </c>
      <c r="I11" s="658"/>
      <c r="J11" s="658"/>
      <c r="K11" s="658"/>
      <c r="L11" s="658"/>
      <c r="M11" s="658">
        <f t="shared" si="1"/>
        <v>0</v>
      </c>
      <c r="N11" s="658">
        <f t="shared" si="2"/>
        <v>0</v>
      </c>
    </row>
    <row r="12" ht="15" customHeight="1" spans="1:15">
      <c r="A12" s="191"/>
      <c r="B12" s="657" t="s">
        <v>176</v>
      </c>
      <c r="C12" s="135"/>
      <c r="D12" s="658"/>
      <c r="E12" s="658"/>
      <c r="F12" s="658"/>
      <c r="G12" s="658"/>
      <c r="H12" s="658">
        <f t="shared" si="0"/>
        <v>0</v>
      </c>
      <c r="I12" s="658"/>
      <c r="J12" s="658"/>
      <c r="K12" s="658"/>
      <c r="L12" s="658"/>
      <c r="M12" s="658">
        <f t="shared" si="1"/>
        <v>0</v>
      </c>
      <c r="N12" s="658">
        <f t="shared" si="2"/>
        <v>0</v>
      </c>
    </row>
    <row r="13" ht="15" customHeight="1" spans="1:15">
      <c r="A13" s="191"/>
      <c r="B13" s="657" t="s">
        <v>177</v>
      </c>
      <c r="C13" s="135"/>
      <c r="D13" s="658"/>
      <c r="E13" s="658"/>
      <c r="F13" s="658"/>
      <c r="G13" s="658"/>
      <c r="H13" s="658">
        <f t="shared" si="0"/>
        <v>0</v>
      </c>
      <c r="I13" s="658"/>
      <c r="J13" s="658"/>
      <c r="K13" s="658"/>
      <c r="L13" s="658"/>
      <c r="M13" s="658">
        <f t="shared" si="1"/>
        <v>0</v>
      </c>
      <c r="N13" s="658">
        <f t="shared" si="2"/>
        <v>0</v>
      </c>
    </row>
    <row r="14" ht="15" customHeight="1" spans="1:15">
      <c r="A14" s="191"/>
      <c r="B14" s="657" t="s">
        <v>178</v>
      </c>
      <c r="C14" s="135"/>
      <c r="D14" s="658"/>
      <c r="E14" s="658"/>
      <c r="F14" s="658"/>
      <c r="G14" s="658"/>
      <c r="H14" s="658">
        <f t="shared" si="0"/>
        <v>0</v>
      </c>
      <c r="I14" s="658"/>
      <c r="J14" s="658"/>
      <c r="K14" s="658"/>
      <c r="L14" s="658"/>
      <c r="M14" s="658">
        <f t="shared" si="1"/>
        <v>0</v>
      </c>
      <c r="N14" s="658">
        <f t="shared" si="2"/>
        <v>0</v>
      </c>
    </row>
    <row r="15" ht="15" customHeight="1" spans="1:15">
      <c r="A15" s="191"/>
      <c r="B15" s="657" t="s">
        <v>179</v>
      </c>
      <c r="C15" s="135"/>
      <c r="D15" s="658"/>
      <c r="E15" s="658"/>
      <c r="F15" s="658"/>
      <c r="G15" s="658"/>
      <c r="H15" s="658">
        <f t="shared" si="0"/>
        <v>0</v>
      </c>
      <c r="I15" s="658"/>
      <c r="J15" s="658"/>
      <c r="K15" s="658"/>
      <c r="L15" s="658"/>
      <c r="M15" s="658">
        <f t="shared" si="1"/>
        <v>0</v>
      </c>
      <c r="N15" s="658">
        <f t="shared" si="2"/>
        <v>0</v>
      </c>
    </row>
    <row r="16" ht="16.5" customHeight="1" spans="1:15">
      <c r="A16" s="191"/>
      <c r="B16" s="657" t="s">
        <v>180</v>
      </c>
      <c r="C16" s="135"/>
      <c r="D16" s="662"/>
      <c r="E16" s="662"/>
      <c r="F16" s="662"/>
      <c r="G16" s="662"/>
      <c r="H16" s="658">
        <f t="shared" si="0"/>
        <v>0</v>
      </c>
      <c r="I16" s="662"/>
      <c r="J16" s="662"/>
      <c r="K16" s="658"/>
      <c r="L16" s="658"/>
      <c r="M16" s="658">
        <f t="shared" si="1"/>
        <v>0</v>
      </c>
      <c r="N16" s="658">
        <f t="shared" si="2"/>
        <v>0</v>
      </c>
    </row>
    <row r="17" ht="16.5" customHeight="1" spans="1:14">
      <c r="A17" s="191"/>
      <c r="B17" s="269" t="s">
        <v>181</v>
      </c>
      <c r="C17" s="663"/>
      <c r="D17" s="270">
        <f>D10+SUM(D11:D16)</f>
        <v>0</v>
      </c>
      <c r="E17" s="270">
        <f t="shared" ref="E17:G17" si="5">E10+SUM(E11:E16)</f>
        <v>0</v>
      </c>
      <c r="F17" s="270">
        <f t="shared" si="5"/>
        <v>0</v>
      </c>
      <c r="G17" s="270">
        <f t="shared" si="5"/>
        <v>0</v>
      </c>
      <c r="H17" s="270">
        <f t="shared" si="0"/>
        <v>0</v>
      </c>
      <c r="I17" s="270">
        <f t="shared" ref="I17:L17" si="6">I10+SUM(I11:I16)</f>
        <v>0</v>
      </c>
      <c r="J17" s="270">
        <f t="shared" si="6"/>
        <v>0</v>
      </c>
      <c r="K17" s="270">
        <f t="shared" si="6"/>
        <v>0</v>
      </c>
      <c r="L17" s="270">
        <f t="shared" si="6"/>
        <v>0</v>
      </c>
      <c r="M17" s="270">
        <f t="shared" si="1"/>
        <v>0</v>
      </c>
      <c r="N17" s="270">
        <f t="shared" si="2"/>
        <v>0</v>
      </c>
    </row>
    <row r="18" ht="16.5" customHeight="1" spans="1:14">
      <c r="A18" s="191"/>
      <c r="B18" s="657" t="s">
        <v>175</v>
      </c>
      <c r="C18" s="135"/>
      <c r="D18" s="658"/>
      <c r="E18" s="658"/>
      <c r="F18" s="658"/>
      <c r="G18" s="658"/>
      <c r="H18" s="658">
        <f t="shared" si="0"/>
        <v>0</v>
      </c>
      <c r="I18" s="658"/>
      <c r="J18" s="658"/>
      <c r="K18" s="658"/>
      <c r="L18" s="656"/>
      <c r="M18" s="658">
        <f t="shared" si="1"/>
        <v>0</v>
      </c>
      <c r="N18" s="658">
        <f t="shared" si="2"/>
        <v>0</v>
      </c>
    </row>
    <row r="19" ht="15" customHeight="1" spans="1:14">
      <c r="A19" s="191"/>
      <c r="B19" s="657" t="s">
        <v>182</v>
      </c>
      <c r="C19" s="135"/>
      <c r="D19" s="658"/>
      <c r="E19" s="658"/>
      <c r="F19" s="658"/>
      <c r="G19" s="658"/>
      <c r="H19" s="658">
        <f t="shared" si="0"/>
        <v>0</v>
      </c>
      <c r="I19" s="658"/>
      <c r="J19" s="658"/>
      <c r="K19" s="658"/>
      <c r="L19" s="658"/>
      <c r="M19" s="658">
        <f t="shared" si="1"/>
        <v>0</v>
      </c>
      <c r="N19" s="658">
        <f t="shared" si="2"/>
        <v>0</v>
      </c>
    </row>
    <row r="20" ht="15" customHeight="1" spans="1:14">
      <c r="A20" s="191"/>
      <c r="B20" s="657" t="s">
        <v>177</v>
      </c>
      <c r="C20" s="135"/>
      <c r="D20" s="658"/>
      <c r="E20" s="658"/>
      <c r="F20" s="658"/>
      <c r="G20" s="658"/>
      <c r="H20" s="658">
        <f t="shared" si="0"/>
        <v>0</v>
      </c>
      <c r="I20" s="658"/>
      <c r="J20" s="658"/>
      <c r="K20" s="658"/>
      <c r="L20" s="658"/>
      <c r="M20" s="658">
        <f t="shared" si="1"/>
        <v>0</v>
      </c>
      <c r="N20" s="658">
        <f t="shared" si="2"/>
        <v>0</v>
      </c>
    </row>
    <row r="21" ht="15" customHeight="1" spans="1:14">
      <c r="A21" s="191"/>
      <c r="B21" s="657" t="s">
        <v>178</v>
      </c>
      <c r="C21" s="135"/>
      <c r="D21" s="658"/>
      <c r="E21" s="658"/>
      <c r="F21" s="658"/>
      <c r="G21" s="658"/>
      <c r="H21" s="658">
        <f t="shared" si="0"/>
        <v>0</v>
      </c>
      <c r="I21" s="658"/>
      <c r="J21" s="658"/>
      <c r="K21" s="658"/>
      <c r="L21" s="658"/>
      <c r="M21" s="658">
        <f t="shared" si="1"/>
        <v>0</v>
      </c>
      <c r="N21" s="658">
        <f t="shared" si="2"/>
        <v>0</v>
      </c>
    </row>
    <row r="22" ht="15" customHeight="1" spans="1:14">
      <c r="A22" s="191"/>
      <c r="B22" s="657" t="s">
        <v>179</v>
      </c>
      <c r="C22" s="135"/>
      <c r="D22" s="658"/>
      <c r="E22" s="658"/>
      <c r="F22" s="658"/>
      <c r="G22" s="658"/>
      <c r="H22" s="658">
        <f t="shared" si="0"/>
        <v>0</v>
      </c>
      <c r="I22" s="658"/>
      <c r="J22" s="658"/>
      <c r="K22" s="658"/>
      <c r="L22" s="658"/>
      <c r="M22" s="658">
        <f t="shared" si="1"/>
        <v>0</v>
      </c>
      <c r="N22" s="658">
        <f t="shared" si="2"/>
        <v>0</v>
      </c>
    </row>
    <row r="23" ht="16.5" customHeight="1" spans="1:14">
      <c r="A23" s="191"/>
      <c r="B23" s="664" t="s">
        <v>162</v>
      </c>
      <c r="C23" s="135"/>
      <c r="D23" s="662"/>
      <c r="E23" s="662"/>
      <c r="F23" s="662"/>
      <c r="G23" s="662"/>
      <c r="H23" s="658">
        <f t="shared" si="0"/>
        <v>0</v>
      </c>
      <c r="I23" s="662"/>
      <c r="J23" s="662"/>
      <c r="K23" s="658"/>
      <c r="L23" s="658"/>
      <c r="M23" s="658">
        <f t="shared" si="1"/>
        <v>0</v>
      </c>
      <c r="N23" s="658">
        <f t="shared" si="2"/>
        <v>0</v>
      </c>
    </row>
    <row r="24" ht="16.5" customHeight="1" spans="1:14">
      <c r="A24" s="191"/>
      <c r="B24" s="269" t="s">
        <v>181</v>
      </c>
      <c r="C24" s="663"/>
      <c r="D24" s="270">
        <f>+SUM(D17:D23)</f>
        <v>0</v>
      </c>
      <c r="E24" s="270">
        <f t="shared" ref="E24:N24" si="7">+SUM(E17:E23)</f>
        <v>0</v>
      </c>
      <c r="F24" s="270">
        <f t="shared" si="7"/>
        <v>0</v>
      </c>
      <c r="G24" s="270">
        <f t="shared" si="7"/>
        <v>0</v>
      </c>
      <c r="H24" s="270">
        <f t="shared" si="7"/>
        <v>0</v>
      </c>
      <c r="I24" s="270">
        <f t="shared" si="7"/>
        <v>0</v>
      </c>
      <c r="J24" s="270">
        <f t="shared" si="7"/>
        <v>0</v>
      </c>
      <c r="K24" s="270">
        <f t="shared" si="7"/>
        <v>0</v>
      </c>
      <c r="L24" s="270">
        <f t="shared" si="7"/>
        <v>0</v>
      </c>
      <c r="M24" s="270">
        <f t="shared" si="7"/>
        <v>0</v>
      </c>
      <c r="N24" s="270">
        <f t="shared" si="7"/>
        <v>0</v>
      </c>
    </row>
    <row r="25" s="141" customFormat="1" ht="22.5" customHeight="1" spans="1:14">
      <c r="B25" s="141" t="s">
        <v>183</v>
      </c>
    </row>
    <row r="26" s="141" customFormat="1" ht="22.5" customHeight="1" spans="1:14">
      <c r="B26" s="141" t="s">
        <v>184</v>
      </c>
    </row>
    <row r="27" ht="18" customHeight="1" spans="1:14">
      <c r="B27" s="135" t="s">
        <v>104</v>
      </c>
    </row>
    <row r="28" ht="18" customHeight="1"/>
    <row r="29" ht="13.5" customHeight="1" spans="1:14">
      <c r="B29" s="135" t="s">
        <v>105</v>
      </c>
    </row>
    <row r="30" ht="15.75" customHeight="1" spans="1:14">
      <c r="B30" s="139" t="s">
        <v>106</v>
      </c>
    </row>
    <row r="31" ht="12" customHeight="1" spans="1:14">
      <c r="B31" s="140" t="s">
        <v>107</v>
      </c>
    </row>
    <row r="32" ht="13.2" spans="1:14">
      <c r="B32" s="140" t="s">
        <v>108</v>
      </c>
    </row>
  </sheetData>
  <mergeCells count="15">
    <mergeCell ref="B3:N3"/>
    <mergeCell ref="B4:N4"/>
    <mergeCell ref="D5:H5"/>
    <mergeCell ref="I5:M5"/>
    <mergeCell ref="B6:C6"/>
    <mergeCell ref="I6:J6"/>
    <mergeCell ref="D6:D7"/>
    <mergeCell ref="E6:E7"/>
    <mergeCell ref="F6:F7"/>
    <mergeCell ref="G6:G7"/>
    <mergeCell ref="H6:H7"/>
    <mergeCell ref="K6:K7"/>
    <mergeCell ref="L6:L7"/>
    <mergeCell ref="M6:M7"/>
    <mergeCell ref="N5:N7"/>
  </mergeCells>
  <printOptions horizontalCentered="1"/>
  <pageMargins left="0.25" right="0.25" top="0.75" bottom="0.75" header="0.3" footer="0.3"/>
  <pageSetup paperSize="9" scale="55" orientation="landscape" blackAndWhite="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F73"/>
  <sheetViews>
    <sheetView showGridLines="0" zoomScale="75" zoomScaleNormal="75" workbookViewId="0">
      <selection activeCell="B32" sqref="B32"/>
    </sheetView>
  </sheetViews>
  <sheetFormatPr defaultColWidth="11.4259259259259" defaultRowHeight="13.2" outlineLevelCol="5"/>
  <cols>
    <col min="1" max="1" width="2.85185185185185" style="135" customWidth="1"/>
    <col min="2" max="2" width="67.8518518518518" style="305" customWidth="1"/>
    <col min="3" max="3" width="9.85185185185185" style="135" customWidth="1"/>
    <col min="4" max="5" width="13.5740740740741" style="135" customWidth="1"/>
    <col min="6" max="6" width="4.42592592592593" style="159" customWidth="1"/>
    <col min="7" max="16384" width="11.4259259259259" style="135"/>
  </cols>
  <sheetData>
    <row r="1" ht="13.95"/>
    <row r="2" ht="13.8" spans="2:5">
      <c r="B2" s="593" t="s">
        <v>0</v>
      </c>
      <c r="C2" s="594"/>
      <c r="D2" s="595"/>
      <c r="E2" s="596"/>
    </row>
    <row r="3" ht="13.8" spans="2:5">
      <c r="B3" s="80" t="s">
        <v>185</v>
      </c>
      <c r="C3" s="81"/>
      <c r="D3" s="81"/>
      <c r="E3" s="82"/>
    </row>
    <row r="4" ht="23.25" customHeight="1" spans="2:5">
      <c r="B4" s="597" t="s">
        <v>110</v>
      </c>
      <c r="C4" s="84"/>
      <c r="D4" s="84"/>
      <c r="E4" s="85"/>
    </row>
    <row r="5" ht="13.95" spans="2:5">
      <c r="B5" s="598"/>
      <c r="C5" s="599"/>
      <c r="D5" s="600" t="s">
        <v>17</v>
      </c>
      <c r="E5" s="601" t="s">
        <v>17</v>
      </c>
    </row>
    <row r="6" ht="13.8" spans="2:5">
      <c r="B6" s="602" t="s">
        <v>186</v>
      </c>
      <c r="C6" s="603"/>
      <c r="D6" s="604"/>
      <c r="E6" s="605"/>
    </row>
    <row r="7" spans="2:5">
      <c r="B7" s="606" t="s">
        <v>187</v>
      </c>
      <c r="C7" s="607"/>
      <c r="D7" s="608">
        <f>E10</f>
        <v>0</v>
      </c>
      <c r="E7" s="609"/>
    </row>
    <row r="8" spans="2:5">
      <c r="B8" s="606" t="s">
        <v>188</v>
      </c>
      <c r="C8" s="566" t="s">
        <v>153</v>
      </c>
      <c r="D8" s="608"/>
      <c r="E8" s="609"/>
    </row>
    <row r="9" spans="2:5">
      <c r="B9" s="606" t="s">
        <v>189</v>
      </c>
      <c r="C9" s="607" t="s">
        <v>190</v>
      </c>
      <c r="D9" s="610">
        <f>D7+D8</f>
        <v>0</v>
      </c>
      <c r="E9" s="611">
        <f>E7+E8</f>
        <v>0</v>
      </c>
    </row>
    <row r="10" ht="13.95" spans="2:5">
      <c r="B10" s="606" t="s">
        <v>191</v>
      </c>
      <c r="C10" s="566"/>
      <c r="D10" s="612"/>
      <c r="E10" s="613"/>
    </row>
    <row r="11" ht="14.55" spans="2:5">
      <c r="B11" s="614" t="s">
        <v>192</v>
      </c>
      <c r="C11" s="607" t="s">
        <v>190</v>
      </c>
      <c r="D11" s="615">
        <f>D10-D9</f>
        <v>0</v>
      </c>
      <c r="E11" s="616">
        <f>E10-E9</f>
        <v>0</v>
      </c>
    </row>
    <row r="12" ht="27.6" spans="2:5">
      <c r="B12" s="602" t="s">
        <v>193</v>
      </c>
      <c r="C12" s="617"/>
      <c r="D12" s="618"/>
      <c r="E12" s="619"/>
    </row>
    <row r="13" spans="2:5">
      <c r="B13" s="620" t="s">
        <v>194</v>
      </c>
      <c r="C13" s="621"/>
      <c r="D13" s="618"/>
      <c r="E13" s="619"/>
    </row>
    <row r="14" spans="2:5">
      <c r="B14" s="606" t="s">
        <v>195</v>
      </c>
      <c r="C14" s="577" t="s">
        <v>196</v>
      </c>
      <c r="D14" s="608"/>
      <c r="E14" s="609"/>
    </row>
    <row r="15" ht="26.4" spans="2:5">
      <c r="B15" s="622" t="s">
        <v>197</v>
      </c>
      <c r="C15" s="577" t="s">
        <v>196</v>
      </c>
      <c r="D15" s="608"/>
      <c r="E15" s="609"/>
    </row>
    <row r="16" spans="2:5">
      <c r="B16" s="623" t="s">
        <v>198</v>
      </c>
      <c r="C16" s="624"/>
      <c r="D16" s="625"/>
      <c r="E16" s="626"/>
    </row>
    <row r="17" spans="2:5">
      <c r="B17" s="606" t="s">
        <v>199</v>
      </c>
      <c r="C17" s="624"/>
      <c r="D17" s="625"/>
      <c r="E17" s="626"/>
    </row>
    <row r="18" spans="2:5">
      <c r="B18" s="606" t="s">
        <v>200</v>
      </c>
      <c r="C18" s="624"/>
      <c r="D18" s="625"/>
      <c r="E18" s="626"/>
    </row>
    <row r="19" ht="26.4" spans="2:5">
      <c r="B19" s="606" t="s">
        <v>201</v>
      </c>
      <c r="C19" s="624"/>
      <c r="D19" s="625"/>
      <c r="E19" s="626"/>
    </row>
    <row r="20" spans="2:5">
      <c r="B20" s="606" t="s">
        <v>202</v>
      </c>
      <c r="C20" s="624"/>
      <c r="D20" s="625"/>
      <c r="E20" s="626"/>
    </row>
    <row r="21" ht="26.4" spans="2:5">
      <c r="B21" s="606" t="s">
        <v>203</v>
      </c>
      <c r="C21" s="577" t="s">
        <v>196</v>
      </c>
      <c r="D21" s="608"/>
      <c r="E21" s="609"/>
    </row>
    <row r="22" ht="26.4" spans="2:5">
      <c r="B22" s="606" t="s">
        <v>204</v>
      </c>
      <c r="C22" s="577" t="s">
        <v>196</v>
      </c>
      <c r="D22" s="608"/>
      <c r="E22" s="609"/>
    </row>
    <row r="23" ht="25.5" customHeight="1" spans="2:5">
      <c r="B23" s="606" t="s">
        <v>205</v>
      </c>
      <c r="C23" s="577" t="s">
        <v>196</v>
      </c>
      <c r="D23" s="608"/>
      <c r="E23" s="609"/>
    </row>
    <row r="24" spans="2:5">
      <c r="B24" s="606" t="s">
        <v>206</v>
      </c>
      <c r="C24" s="577" t="s">
        <v>196</v>
      </c>
      <c r="D24" s="608"/>
      <c r="E24" s="609"/>
    </row>
    <row r="25" spans="2:5">
      <c r="B25" s="606" t="s">
        <v>207</v>
      </c>
      <c r="C25" s="577" t="s">
        <v>196</v>
      </c>
      <c r="D25" s="608"/>
      <c r="E25" s="609"/>
    </row>
    <row r="26" spans="2:5">
      <c r="B26" s="606" t="s">
        <v>208</v>
      </c>
      <c r="C26" s="577"/>
      <c r="D26" s="608"/>
      <c r="E26" s="609"/>
    </row>
    <row r="27" spans="2:5">
      <c r="B27" s="627" t="s">
        <v>209</v>
      </c>
      <c r="C27" s="577"/>
      <c r="D27" s="608"/>
      <c r="E27" s="609"/>
    </row>
    <row r="28" spans="2:5">
      <c r="B28" s="606" t="s">
        <v>210</v>
      </c>
      <c r="C28" s="560" t="s">
        <v>196</v>
      </c>
      <c r="D28" s="608"/>
      <c r="E28" s="609"/>
    </row>
    <row r="29" spans="2:5">
      <c r="B29" s="622" t="s">
        <v>211</v>
      </c>
      <c r="C29" s="577" t="s">
        <v>196</v>
      </c>
      <c r="D29" s="608"/>
      <c r="E29" s="609"/>
    </row>
    <row r="30" spans="2:5">
      <c r="B30" s="606" t="s">
        <v>212</v>
      </c>
      <c r="C30" s="577" t="s">
        <v>196</v>
      </c>
      <c r="D30" s="608"/>
      <c r="E30" s="609"/>
    </row>
    <row r="31" spans="2:5">
      <c r="B31" s="606" t="s">
        <v>213</v>
      </c>
      <c r="C31" s="577" t="s">
        <v>196</v>
      </c>
      <c r="D31" s="608"/>
      <c r="E31" s="609"/>
    </row>
    <row r="32" spans="2:5">
      <c r="B32" s="622" t="s">
        <v>214</v>
      </c>
      <c r="C32" s="577" t="s">
        <v>196</v>
      </c>
      <c r="D32" s="608"/>
      <c r="E32" s="609"/>
    </row>
    <row r="33" spans="2:5">
      <c r="B33" s="622" t="s">
        <v>215</v>
      </c>
      <c r="C33" s="577" t="s">
        <v>196</v>
      </c>
      <c r="D33" s="608"/>
      <c r="E33" s="609"/>
    </row>
    <row r="34" spans="2:5">
      <c r="B34" s="622" t="s">
        <v>216</v>
      </c>
      <c r="C34" s="577" t="s">
        <v>196</v>
      </c>
      <c r="D34" s="608"/>
      <c r="E34" s="609"/>
    </row>
    <row r="35" spans="2:5">
      <c r="B35" s="622" t="s">
        <v>217</v>
      </c>
      <c r="C35" s="577" t="s">
        <v>196</v>
      </c>
      <c r="D35" s="608"/>
      <c r="E35" s="609"/>
    </row>
    <row r="36" spans="2:5">
      <c r="B36" s="606" t="s">
        <v>218</v>
      </c>
      <c r="C36" s="251"/>
      <c r="D36" s="251"/>
      <c r="E36" s="628"/>
    </row>
    <row r="37" spans="2:5">
      <c r="B37" s="606" t="s">
        <v>219</v>
      </c>
      <c r="C37" s="251"/>
      <c r="D37" s="251"/>
      <c r="E37" s="628"/>
    </row>
    <row r="38" spans="2:5">
      <c r="B38" s="606" t="s">
        <v>220</v>
      </c>
      <c r="C38" s="577" t="s">
        <v>196</v>
      </c>
      <c r="D38" s="608"/>
      <c r="E38" s="609"/>
    </row>
    <row r="39" spans="2:5">
      <c r="B39" s="606" t="s">
        <v>221</v>
      </c>
      <c r="C39" s="577" t="s">
        <v>196</v>
      </c>
      <c r="D39" s="608"/>
      <c r="E39" s="609"/>
    </row>
    <row r="40" spans="2:5">
      <c r="B40" s="606" t="s">
        <v>222</v>
      </c>
      <c r="C40" s="577" t="s">
        <v>196</v>
      </c>
      <c r="D40" s="608"/>
      <c r="E40" s="609"/>
    </row>
    <row r="41" ht="13.95" spans="2:5">
      <c r="B41" s="606" t="s">
        <v>163</v>
      </c>
      <c r="C41" s="577"/>
      <c r="D41" s="608"/>
      <c r="E41" s="609"/>
    </row>
    <row r="42" ht="13.95" spans="2:5">
      <c r="B42" s="629" t="s">
        <v>223</v>
      </c>
      <c r="C42" s="630"/>
      <c r="D42" s="631">
        <f>SUM(D14:D41)</f>
        <v>0</v>
      </c>
      <c r="E42" s="632">
        <f>SUM(E14:E41)</f>
        <v>0</v>
      </c>
    </row>
    <row r="43" spans="2:5">
      <c r="B43" s="620" t="s">
        <v>224</v>
      </c>
      <c r="C43" s="621"/>
      <c r="D43" s="625"/>
      <c r="E43" s="626"/>
    </row>
    <row r="44" spans="2:5">
      <c r="B44" s="606" t="s">
        <v>225</v>
      </c>
      <c r="C44" s="577" t="s">
        <v>196</v>
      </c>
      <c r="D44" s="608"/>
      <c r="E44" s="609"/>
    </row>
    <row r="45" spans="2:5">
      <c r="B45" s="606" t="s">
        <v>226</v>
      </c>
      <c r="C45" s="577" t="s">
        <v>196</v>
      </c>
      <c r="D45" s="608"/>
      <c r="E45" s="609"/>
    </row>
    <row r="46" spans="2:5">
      <c r="B46" s="622" t="s">
        <v>227</v>
      </c>
      <c r="C46" s="577" t="s">
        <v>196</v>
      </c>
      <c r="D46" s="608"/>
      <c r="E46" s="609"/>
    </row>
    <row r="47" spans="2:5">
      <c r="B47" s="622" t="s">
        <v>228</v>
      </c>
      <c r="C47" s="577" t="s">
        <v>196</v>
      </c>
      <c r="D47" s="608"/>
      <c r="E47" s="609"/>
    </row>
    <row r="48" spans="2:5">
      <c r="B48" s="622" t="s">
        <v>229</v>
      </c>
      <c r="C48" s="577" t="s">
        <v>196</v>
      </c>
      <c r="D48" s="608"/>
      <c r="E48" s="609"/>
    </row>
    <row r="49" spans="2:5">
      <c r="B49" s="622" t="s">
        <v>230</v>
      </c>
      <c r="C49" s="577" t="s">
        <v>196</v>
      </c>
      <c r="D49" s="608"/>
      <c r="E49" s="609"/>
    </row>
    <row r="50" ht="26.4" spans="2:5">
      <c r="B50" s="622" t="s">
        <v>231</v>
      </c>
      <c r="C50" s="577" t="s">
        <v>196</v>
      </c>
      <c r="D50" s="608"/>
      <c r="E50" s="609"/>
    </row>
    <row r="51" ht="26.4" spans="2:5">
      <c r="B51" s="606" t="s">
        <v>232</v>
      </c>
      <c r="C51" s="577" t="s">
        <v>196</v>
      </c>
      <c r="D51" s="608"/>
      <c r="E51" s="609"/>
    </row>
    <row r="52" spans="2:5">
      <c r="B52" s="606" t="s">
        <v>233</v>
      </c>
      <c r="C52" s="577" t="s">
        <v>196</v>
      </c>
      <c r="D52" s="608"/>
      <c r="E52" s="609"/>
    </row>
    <row r="53" spans="2:5">
      <c r="B53" s="606" t="s">
        <v>234</v>
      </c>
      <c r="C53" s="577" t="s">
        <v>196</v>
      </c>
      <c r="D53" s="608"/>
      <c r="E53" s="609"/>
    </row>
    <row r="54" ht="13.95" spans="2:5">
      <c r="B54" s="606" t="s">
        <v>208</v>
      </c>
      <c r="C54" s="577"/>
      <c r="D54" s="608"/>
      <c r="E54" s="609"/>
    </row>
    <row r="55" ht="13.95" spans="2:5">
      <c r="B55" s="629" t="s">
        <v>235</v>
      </c>
      <c r="C55" s="630"/>
      <c r="D55" s="631">
        <f>SUM(D44:D54)</f>
        <v>0</v>
      </c>
      <c r="E55" s="632">
        <f>SUM(E44:E54)</f>
        <v>0</v>
      </c>
    </row>
    <row r="56" spans="2:5">
      <c r="B56" s="620" t="s">
        <v>236</v>
      </c>
      <c r="C56" s="621"/>
      <c r="D56" s="625"/>
      <c r="E56" s="626"/>
    </row>
    <row r="57" ht="26.4" spans="2:5">
      <c r="B57" s="606" t="s">
        <v>237</v>
      </c>
      <c r="C57" s="577" t="s">
        <v>196</v>
      </c>
      <c r="D57" s="608"/>
      <c r="E57" s="609"/>
    </row>
    <row r="58" ht="26.4" spans="2:5">
      <c r="B58" s="606" t="s">
        <v>238</v>
      </c>
      <c r="C58" s="577" t="s">
        <v>196</v>
      </c>
      <c r="D58" s="608"/>
      <c r="E58" s="609"/>
    </row>
    <row r="59" spans="2:5">
      <c r="B59" s="606" t="s">
        <v>239</v>
      </c>
      <c r="C59" s="577" t="s">
        <v>196</v>
      </c>
      <c r="D59" s="608"/>
      <c r="E59" s="609"/>
    </row>
    <row r="60" spans="2:5">
      <c r="B60" s="606" t="s">
        <v>240</v>
      </c>
      <c r="C60" s="577" t="s">
        <v>196</v>
      </c>
      <c r="D60" s="608"/>
      <c r="E60" s="609"/>
    </row>
    <row r="61" ht="13.95" spans="2:5">
      <c r="B61" s="606" t="s">
        <v>163</v>
      </c>
      <c r="C61" s="577"/>
      <c r="D61" s="608"/>
      <c r="E61" s="609"/>
    </row>
    <row r="62" ht="13.95" spans="2:5">
      <c r="B62" s="629" t="s">
        <v>241</v>
      </c>
      <c r="C62" s="630"/>
      <c r="D62" s="631">
        <f>SUM(D57:D61)</f>
        <v>0</v>
      </c>
      <c r="E62" s="632">
        <f>SUM(E57:E61)</f>
        <v>0</v>
      </c>
    </row>
    <row r="63" ht="27.15" spans="2:5">
      <c r="B63" s="629" t="s">
        <v>242</v>
      </c>
      <c r="C63" s="630"/>
      <c r="D63" s="631"/>
      <c r="E63" s="632"/>
    </row>
    <row r="64" ht="14.55" spans="2:5">
      <c r="B64" s="633" t="s">
        <v>243</v>
      </c>
      <c r="C64" s="634"/>
      <c r="D64" s="635">
        <f>SUM(D42,D55,D62,D63)</f>
        <v>0</v>
      </c>
      <c r="E64" s="636">
        <f>SUM(E42,E55,E62,E63)</f>
        <v>0</v>
      </c>
    </row>
    <row r="65" spans="2:6">
      <c r="B65" s="590" t="s">
        <v>104</v>
      </c>
      <c r="C65" s="186"/>
      <c r="D65" s="591"/>
      <c r="E65" s="591"/>
    </row>
    <row r="66" s="140" customFormat="1" ht="29.25" customHeight="1" spans="2:6">
      <c r="B66" s="592" t="s">
        <v>244</v>
      </c>
      <c r="C66" s="592"/>
      <c r="D66" s="592"/>
      <c r="E66" s="592"/>
      <c r="F66" s="637"/>
    </row>
    <row r="67" s="140" customFormat="1" ht="30" customHeight="1" spans="2:6">
      <c r="B67" s="592" t="s">
        <v>245</v>
      </c>
      <c r="C67" s="592"/>
      <c r="D67" s="592"/>
      <c r="E67" s="592"/>
      <c r="F67" s="637"/>
    </row>
    <row r="68" spans="2:6">
      <c r="C68" s="638"/>
    </row>
    <row r="69" spans="2:6">
      <c r="B69" s="135" t="s">
        <v>105</v>
      </c>
    </row>
    <row r="70" spans="2:6">
      <c r="B70" s="139" t="s">
        <v>106</v>
      </c>
      <c r="C70" s="159"/>
    </row>
    <row r="71" spans="2:6">
      <c r="B71" s="140" t="s">
        <v>107</v>
      </c>
      <c r="C71" s="159"/>
    </row>
    <row r="72" spans="2:6">
      <c r="B72" s="140" t="s">
        <v>108</v>
      </c>
      <c r="C72" s="591"/>
    </row>
    <row r="73" spans="2:6">
      <c r="B73" s="138"/>
    </row>
  </sheetData>
  <mergeCells count="4">
    <mergeCell ref="B3:E3"/>
    <mergeCell ref="B4:E4"/>
    <mergeCell ref="B66:E66"/>
    <mergeCell ref="B67:E67"/>
  </mergeCells>
  <conditionalFormatting sqref="D65">
    <cfRule type="containsText" dxfId="2" priority="3" operator="between" text="control">
      <formula>NOT(ISERROR(SEARCH("control",D65)))</formula>
    </cfRule>
  </conditionalFormatting>
  <conditionalFormatting sqref="E65">
    <cfRule type="containsText" dxfId="2" priority="2" operator="between" text="control">
      <formula>NOT(ISERROR(SEARCH("control",E65)))</formula>
    </cfRule>
  </conditionalFormatting>
  <pageMargins left="0.25" right="0.25" top="0.75" bottom="0.75" header="0.3" footer="0.3"/>
  <pageSetup paperSize="9" scale="63" orientation="portrait" blackAndWhite="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G65"/>
  <sheetViews>
    <sheetView showGridLines="0" zoomScale="75" zoomScaleNormal="75" zoomScaleSheetLayoutView="80" workbookViewId="0">
      <selection activeCell="B15" sqref="B15"/>
    </sheetView>
  </sheetViews>
  <sheetFormatPr defaultColWidth="11.4259259259259" defaultRowHeight="13.2" outlineLevelCol="6"/>
  <cols>
    <col min="1" max="1" width="2.85185185185185" style="135" customWidth="1"/>
    <col min="2" max="2" width="63.5740740740741" style="305" customWidth="1"/>
    <col min="3" max="3" width="9.71296296296296" style="135" customWidth="1"/>
    <col min="4" max="4" width="14" style="135" customWidth="1"/>
    <col min="5" max="5" width="13.5740740740741" style="135" customWidth="1"/>
    <col min="6" max="6" width="4.42592592592593" style="135" customWidth="1"/>
    <col min="7" max="7" width="12.287037037037" style="135" customWidth="1"/>
    <col min="8" max="16384" width="11.4259259259259" style="135"/>
  </cols>
  <sheetData>
    <row r="1" ht="13.95"/>
    <row r="2" ht="13.8" spans="2:7">
      <c r="B2" s="552" t="s">
        <v>0</v>
      </c>
      <c r="C2" s="281"/>
      <c r="D2" s="281"/>
      <c r="E2" s="553"/>
    </row>
    <row r="3" ht="13.8" spans="2:7">
      <c r="B3" s="148" t="s">
        <v>246</v>
      </c>
      <c r="C3" s="81"/>
      <c r="D3" s="81"/>
      <c r="E3" s="149"/>
    </row>
    <row r="4" ht="35.25" customHeight="1" spans="2:7">
      <c r="B4" s="554" t="s">
        <v>110</v>
      </c>
      <c r="C4" s="84"/>
      <c r="D4" s="84"/>
      <c r="E4" s="150"/>
    </row>
    <row r="5" spans="2:7">
      <c r="B5" s="555"/>
      <c r="C5" s="556"/>
      <c r="D5" s="557" t="s">
        <v>17</v>
      </c>
      <c r="E5" s="558" t="s">
        <v>17</v>
      </c>
    </row>
    <row r="6" ht="13.8" spans="2:7">
      <c r="B6" s="559" t="s">
        <v>186</v>
      </c>
      <c r="C6" s="560"/>
      <c r="D6" s="561"/>
      <c r="E6" s="562"/>
    </row>
    <row r="7" spans="2:7">
      <c r="B7" s="563" t="s">
        <v>187</v>
      </c>
      <c r="C7" s="248"/>
      <c r="D7" s="564">
        <f>E10</f>
        <v>0</v>
      </c>
      <c r="E7" s="565"/>
      <c r="G7" s="138"/>
    </row>
    <row r="8" spans="2:7">
      <c r="B8" s="563" t="s">
        <v>188</v>
      </c>
      <c r="C8" s="566" t="s">
        <v>153</v>
      </c>
      <c r="D8" s="567"/>
      <c r="E8" s="568"/>
    </row>
    <row r="9" spans="2:7">
      <c r="B9" s="563" t="s">
        <v>189</v>
      </c>
      <c r="C9" s="566" t="s">
        <v>190</v>
      </c>
      <c r="D9" s="569">
        <f>D7+D8</f>
        <v>0</v>
      </c>
      <c r="E9" s="570">
        <f>E7+E8</f>
        <v>0</v>
      </c>
    </row>
    <row r="10" ht="13.95" spans="2:7">
      <c r="B10" s="563" t="s">
        <v>191</v>
      </c>
      <c r="C10" s="566"/>
      <c r="D10" s="571"/>
      <c r="E10" s="572"/>
    </row>
    <row r="11" ht="14.45" customHeight="1" spans="2:7">
      <c r="B11" s="573" t="s">
        <v>192</v>
      </c>
      <c r="C11" s="574" t="s">
        <v>190</v>
      </c>
      <c r="D11" s="575">
        <f>D10-D9</f>
        <v>0</v>
      </c>
      <c r="E11" s="576">
        <f>E10-E9</f>
        <v>0</v>
      </c>
    </row>
    <row r="12" ht="27.6" spans="2:7">
      <c r="B12" s="559" t="s">
        <v>193</v>
      </c>
      <c r="C12" s="577"/>
      <c r="D12" s="578"/>
      <c r="E12" s="579"/>
    </row>
    <row r="13" spans="2:7">
      <c r="B13" s="580" t="s">
        <v>194</v>
      </c>
      <c r="C13" s="577"/>
      <c r="D13" s="581"/>
      <c r="E13" s="582"/>
    </row>
    <row r="14" ht="12.75" customHeight="1" spans="2:7">
      <c r="B14" s="563" t="s">
        <v>247</v>
      </c>
      <c r="C14" s="577" t="s">
        <v>196</v>
      </c>
      <c r="D14" s="564"/>
      <c r="E14" s="583"/>
    </row>
    <row r="15" spans="2:7">
      <c r="B15" s="563" t="s">
        <v>248</v>
      </c>
      <c r="C15" s="577" t="s">
        <v>196</v>
      </c>
      <c r="D15" s="564"/>
      <c r="E15" s="583"/>
    </row>
    <row r="16" spans="2:7">
      <c r="B16" s="563" t="s">
        <v>249</v>
      </c>
      <c r="C16" s="577" t="s">
        <v>196</v>
      </c>
      <c r="D16" s="564"/>
      <c r="E16" s="583"/>
    </row>
    <row r="17" spans="2:6">
      <c r="B17" s="563" t="s">
        <v>250</v>
      </c>
      <c r="C17" s="577"/>
      <c r="D17" s="564"/>
      <c r="E17" s="583"/>
    </row>
    <row r="18" spans="2:6">
      <c r="B18" s="563" t="s">
        <v>251</v>
      </c>
      <c r="C18" s="577" t="s">
        <v>196</v>
      </c>
      <c r="D18" s="564"/>
      <c r="E18" s="583"/>
    </row>
    <row r="19" ht="25.5" customHeight="1" spans="2:6">
      <c r="B19" s="563" t="s">
        <v>252</v>
      </c>
      <c r="C19" s="577" t="s">
        <v>196</v>
      </c>
      <c r="D19" s="564"/>
      <c r="E19" s="583"/>
    </row>
    <row r="20" spans="2:6">
      <c r="B20" s="563" t="s">
        <v>253</v>
      </c>
      <c r="C20" s="251"/>
      <c r="D20" s="584"/>
      <c r="E20" s="585"/>
      <c r="F20" s="586"/>
    </row>
    <row r="21" spans="2:6">
      <c r="B21" s="563" t="s">
        <v>219</v>
      </c>
      <c r="C21" s="577"/>
      <c r="D21" s="564"/>
      <c r="E21" s="583"/>
    </row>
    <row r="22" spans="2:6">
      <c r="B22" s="563" t="s">
        <v>218</v>
      </c>
      <c r="C22" s="577" t="s">
        <v>196</v>
      </c>
      <c r="D22" s="564"/>
      <c r="E22" s="583"/>
    </row>
    <row r="23" spans="2:6">
      <c r="B23" s="563" t="s">
        <v>254</v>
      </c>
      <c r="C23" s="577" t="s">
        <v>196</v>
      </c>
      <c r="D23" s="564"/>
      <c r="E23" s="583"/>
    </row>
    <row r="24" spans="2:6">
      <c r="B24" s="563" t="s">
        <v>255</v>
      </c>
      <c r="C24" s="577" t="s">
        <v>196</v>
      </c>
      <c r="D24" s="564"/>
      <c r="E24" s="583"/>
    </row>
    <row r="25" spans="2:6">
      <c r="B25" s="563" t="s">
        <v>222</v>
      </c>
      <c r="C25" s="577" t="s">
        <v>196</v>
      </c>
      <c r="D25" s="564"/>
      <c r="E25" s="583"/>
      <c r="F25" s="586"/>
    </row>
    <row r="26" ht="13.95" spans="2:6">
      <c r="B26" s="563" t="s">
        <v>163</v>
      </c>
      <c r="C26" s="577"/>
      <c r="D26" s="564"/>
      <c r="E26" s="583"/>
      <c r="F26" s="586"/>
    </row>
    <row r="27" ht="14.55" spans="2:6">
      <c r="B27" s="573" t="s">
        <v>256</v>
      </c>
      <c r="C27" s="574"/>
      <c r="D27" s="575">
        <f>SUM(D14:D26)</f>
        <v>0</v>
      </c>
      <c r="E27" s="576">
        <f>SUM(E14:E26)</f>
        <v>0</v>
      </c>
      <c r="F27" s="586"/>
    </row>
    <row r="28" spans="2:6">
      <c r="B28" s="580" t="s">
        <v>224</v>
      </c>
      <c r="C28" s="560"/>
      <c r="D28" s="581"/>
      <c r="E28" s="582"/>
    </row>
    <row r="29" spans="2:6">
      <c r="B29" s="563" t="s">
        <v>225</v>
      </c>
      <c r="C29" s="577"/>
      <c r="D29" s="564"/>
      <c r="E29" s="583"/>
      <c r="F29" s="198"/>
    </row>
    <row r="30" spans="2:6">
      <c r="B30" s="563" t="s">
        <v>226</v>
      </c>
      <c r="C30" s="560"/>
      <c r="D30" s="584"/>
      <c r="E30" s="585"/>
      <c r="F30" s="198"/>
    </row>
    <row r="31" spans="2:6">
      <c r="B31" s="563" t="s">
        <v>227</v>
      </c>
      <c r="C31" s="251"/>
      <c r="D31" s="584"/>
      <c r="E31" s="585"/>
    </row>
    <row r="32" spans="2:6">
      <c r="B32" s="563" t="s">
        <v>257</v>
      </c>
      <c r="C32" s="251"/>
      <c r="D32" s="584"/>
      <c r="E32" s="585"/>
    </row>
    <row r="33" spans="2:5">
      <c r="B33" s="563" t="s">
        <v>258</v>
      </c>
      <c r="C33" s="251"/>
      <c r="D33" s="584"/>
      <c r="E33" s="585"/>
    </row>
    <row r="34" spans="2:5">
      <c r="B34" s="563" t="s">
        <v>259</v>
      </c>
      <c r="C34" s="251"/>
      <c r="D34" s="584"/>
      <c r="E34" s="585"/>
    </row>
    <row r="35" ht="26.4" spans="2:5">
      <c r="B35" s="563" t="s">
        <v>260</v>
      </c>
      <c r="C35" s="251"/>
      <c r="D35" s="584"/>
      <c r="E35" s="585"/>
    </row>
    <row r="36" ht="37.5" customHeight="1" spans="2:5">
      <c r="B36" s="563" t="s">
        <v>261</v>
      </c>
      <c r="C36" s="251"/>
      <c r="D36" s="584"/>
      <c r="E36" s="585"/>
    </row>
    <row r="37" spans="2:5">
      <c r="B37" s="563" t="s">
        <v>233</v>
      </c>
      <c r="C37" s="251"/>
      <c r="D37" s="584"/>
      <c r="E37" s="585"/>
    </row>
    <row r="38" spans="2:5">
      <c r="B38" s="563" t="s">
        <v>262</v>
      </c>
      <c r="C38" s="577" t="s">
        <v>196</v>
      </c>
      <c r="D38" s="564"/>
      <c r="E38" s="583"/>
    </row>
    <row r="39" spans="2:5">
      <c r="B39" s="563" t="s">
        <v>263</v>
      </c>
      <c r="C39" s="577" t="s">
        <v>196</v>
      </c>
      <c r="D39" s="564"/>
      <c r="E39" s="583"/>
    </row>
    <row r="40" spans="2:5">
      <c r="B40" s="563" t="s">
        <v>234</v>
      </c>
      <c r="C40" s="577" t="s">
        <v>196</v>
      </c>
      <c r="D40" s="564"/>
      <c r="E40" s="583"/>
    </row>
    <row r="41" ht="13.95" spans="2:5">
      <c r="B41" s="563" t="s">
        <v>163</v>
      </c>
      <c r="C41" s="577"/>
      <c r="D41" s="564"/>
      <c r="E41" s="583"/>
    </row>
    <row r="42" ht="14.55" spans="2:5">
      <c r="B42" s="573" t="s">
        <v>264</v>
      </c>
      <c r="C42" s="574"/>
      <c r="D42" s="575">
        <f>SUM(D29:D41)</f>
        <v>0</v>
      </c>
      <c r="E42" s="576">
        <f>SUM(E29:E41)</f>
        <v>0</v>
      </c>
    </row>
    <row r="43" spans="2:5">
      <c r="B43" s="580" t="s">
        <v>236</v>
      </c>
      <c r="C43" s="560"/>
      <c r="D43" s="581"/>
      <c r="E43" s="582"/>
    </row>
    <row r="44" spans="2:5">
      <c r="B44" s="563" t="s">
        <v>265</v>
      </c>
      <c r="C44" s="577" t="s">
        <v>196</v>
      </c>
      <c r="D44" s="564"/>
      <c r="E44" s="583"/>
    </row>
    <row r="45" ht="26.4" spans="2:5">
      <c r="B45" s="563" t="s">
        <v>266</v>
      </c>
      <c r="C45" s="577" t="s">
        <v>196</v>
      </c>
      <c r="D45" s="564"/>
      <c r="E45" s="583"/>
    </row>
    <row r="46" ht="26.4" spans="2:5">
      <c r="B46" s="563" t="s">
        <v>267</v>
      </c>
      <c r="C46" s="577" t="s">
        <v>196</v>
      </c>
      <c r="D46" s="564"/>
      <c r="E46" s="583"/>
    </row>
    <row r="47" spans="2:5">
      <c r="B47" s="563" t="s">
        <v>268</v>
      </c>
      <c r="C47" s="577" t="s">
        <v>196</v>
      </c>
      <c r="D47" s="564"/>
      <c r="E47" s="583"/>
    </row>
    <row r="48" spans="2:5">
      <c r="B48" s="563" t="s">
        <v>240</v>
      </c>
      <c r="C48" s="577"/>
      <c r="D48" s="564"/>
      <c r="E48" s="583"/>
    </row>
    <row r="49" ht="13.95" spans="2:6">
      <c r="B49" s="563" t="s">
        <v>163</v>
      </c>
      <c r="C49" s="577"/>
      <c r="D49" s="564"/>
      <c r="E49" s="583"/>
    </row>
    <row r="50" ht="14.55" spans="2:6">
      <c r="B50" s="573" t="s">
        <v>269</v>
      </c>
      <c r="C50" s="574"/>
      <c r="D50" s="575">
        <f>SUM(D44:D49)</f>
        <v>0</v>
      </c>
      <c r="E50" s="576">
        <f>SUM(E44:E49)</f>
        <v>0</v>
      </c>
    </row>
    <row r="51" ht="27.15" spans="2:6">
      <c r="B51" s="563" t="s">
        <v>270</v>
      </c>
      <c r="C51" s="560"/>
      <c r="D51" s="581"/>
      <c r="E51" s="582"/>
    </row>
    <row r="52" ht="14.55" spans="2:6">
      <c r="B52" s="573" t="s">
        <v>271</v>
      </c>
      <c r="C52" s="587"/>
      <c r="D52" s="588">
        <f>D27+D42+D50+D51</f>
        <v>0</v>
      </c>
      <c r="E52" s="589">
        <f>E27+E42+E50+E51</f>
        <v>0</v>
      </c>
    </row>
    <row r="53" ht="22.8" spans="2:6">
      <c r="B53" s="590" t="s">
        <v>104</v>
      </c>
      <c r="D53" s="591"/>
      <c r="E53" s="591"/>
    </row>
    <row r="54" s="140" customFormat="1" ht="28.5" customHeight="1" spans="2:6">
      <c r="B54" s="592" t="s">
        <v>244</v>
      </c>
      <c r="C54" s="592"/>
      <c r="D54" s="592"/>
      <c r="E54" s="592"/>
    </row>
    <row r="55" s="140" customFormat="1" ht="26.25" customHeight="1" spans="2:6">
      <c r="B55" s="592" t="s">
        <v>245</v>
      </c>
      <c r="C55" s="592"/>
      <c r="D55" s="592"/>
      <c r="E55" s="592"/>
    </row>
    <row r="56" spans="2:6">
      <c r="B56" s="95"/>
    </row>
    <row r="57" spans="2:6">
      <c r="B57" s="135" t="s">
        <v>105</v>
      </c>
    </row>
    <row r="58" spans="2:6">
      <c r="B58" s="139" t="s">
        <v>106</v>
      </c>
    </row>
    <row r="59" spans="2:6">
      <c r="B59" s="140" t="s">
        <v>107</v>
      </c>
    </row>
    <row r="60" spans="2:6">
      <c r="B60" s="140" t="s">
        <v>108</v>
      </c>
    </row>
    <row r="61" spans="2:6">
      <c r="B61" s="138"/>
    </row>
    <row r="64" spans="2:6">
      <c r="F64" s="159"/>
    </row>
    <row r="65" spans="6:6">
      <c r="F65" s="159"/>
    </row>
  </sheetData>
  <mergeCells count="4">
    <mergeCell ref="B3:E3"/>
    <mergeCell ref="B4:E4"/>
    <mergeCell ref="B54:E54"/>
    <mergeCell ref="B55:E55"/>
  </mergeCells>
  <conditionalFormatting sqref="D53:E53">
    <cfRule type="containsText" dxfId="2" priority="1" operator="between" text="control">
      <formula>NOT(ISERROR(SEARCH("control",D53)))</formula>
    </cfRule>
  </conditionalFormatting>
  <pageMargins left="0.748031496062992" right="0.31496062992126" top="0.984251968503937" bottom="0.984251968503937" header="0" footer="0"/>
  <pageSetup paperSize="9" scale="69" orientation="portrait" blackAndWhite="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F74"/>
  <sheetViews>
    <sheetView zoomScale="75" zoomScaleNormal="75" workbookViewId="0">
      <selection activeCell="B26" sqref="B26"/>
    </sheetView>
  </sheetViews>
  <sheetFormatPr defaultColWidth="9.13888888888889" defaultRowHeight="13.2" outlineLevelCol="5"/>
  <cols>
    <col min="1" max="1" width="2.85185185185185" style="21" customWidth="1"/>
    <col min="2" max="2" width="76.4259259259259" style="21" customWidth="1"/>
    <col min="3" max="3" width="11" style="21" customWidth="1"/>
    <col min="4" max="5" width="10.5740740740741" style="21" customWidth="1"/>
    <col min="6" max="6" width="4" style="21" customWidth="1"/>
    <col min="7" max="16384" width="9.13888888888889" style="21"/>
  </cols>
  <sheetData>
    <row r="1" ht="13.95"/>
    <row r="2" spans="2:5">
      <c r="B2" s="521" t="s">
        <v>0</v>
      </c>
      <c r="C2" s="522"/>
      <c r="D2" s="38"/>
      <c r="E2" s="523"/>
    </row>
    <row r="3" spans="2:5">
      <c r="B3" s="524" t="s">
        <v>272</v>
      </c>
      <c r="C3" s="244"/>
      <c r="D3" s="244"/>
      <c r="E3" s="355"/>
    </row>
    <row r="4" spans="2:5">
      <c r="B4" s="524" t="s">
        <v>273</v>
      </c>
      <c r="C4" s="244"/>
      <c r="D4" s="244"/>
      <c r="E4" s="355"/>
    </row>
    <row r="5" ht="13.95" spans="2:5">
      <c r="B5" s="525" t="s">
        <v>274</v>
      </c>
      <c r="C5" s="44"/>
      <c r="D5" s="44"/>
      <c r="E5" s="45"/>
    </row>
    <row r="6" ht="18.75" customHeight="1" spans="2:5">
      <c r="B6" s="526"/>
      <c r="C6" s="527"/>
      <c r="D6" s="528" t="s">
        <v>17</v>
      </c>
      <c r="E6" s="529" t="s">
        <v>17</v>
      </c>
    </row>
    <row r="7" spans="2:5">
      <c r="B7" s="530" t="s">
        <v>186</v>
      </c>
      <c r="C7" s="531"/>
      <c r="D7" s="527"/>
      <c r="E7" s="532"/>
    </row>
    <row r="8" spans="2:5">
      <c r="B8" s="533" t="s">
        <v>187</v>
      </c>
      <c r="C8" s="534"/>
      <c r="D8" s="535">
        <f>+E11</f>
        <v>0</v>
      </c>
      <c r="E8" s="536"/>
    </row>
    <row r="9" spans="2:5">
      <c r="B9" s="533" t="s">
        <v>188</v>
      </c>
      <c r="C9" s="534" t="s">
        <v>153</v>
      </c>
      <c r="D9" s="535"/>
      <c r="E9" s="536"/>
    </row>
    <row r="10" spans="2:5">
      <c r="B10" s="533" t="s">
        <v>189</v>
      </c>
      <c r="C10" s="537" t="s">
        <v>190</v>
      </c>
      <c r="D10" s="538">
        <f>D8+D9</f>
        <v>0</v>
      </c>
      <c r="E10" s="539">
        <f>E8+E9</f>
        <v>0</v>
      </c>
    </row>
    <row r="11" ht="13.95" spans="2:5">
      <c r="B11" s="533" t="s">
        <v>191</v>
      </c>
      <c r="C11" s="534"/>
      <c r="D11" s="540"/>
      <c r="E11" s="541"/>
    </row>
    <row r="12" ht="13.95" spans="2:5">
      <c r="B12" s="542" t="s">
        <v>192</v>
      </c>
      <c r="C12" s="537" t="s">
        <v>190</v>
      </c>
      <c r="D12" s="543">
        <f>D11-D10</f>
        <v>0</v>
      </c>
      <c r="E12" s="544">
        <f>E11-E10</f>
        <v>0</v>
      </c>
    </row>
    <row r="13" spans="2:5">
      <c r="B13" s="363" t="s">
        <v>193</v>
      </c>
      <c r="C13" s="545"/>
      <c r="D13" s="546"/>
      <c r="E13" s="547"/>
    </row>
    <row r="14" spans="2:5">
      <c r="B14" s="364" t="s">
        <v>275</v>
      </c>
      <c r="C14" s="545"/>
      <c r="D14" s="546"/>
      <c r="E14" s="547"/>
    </row>
    <row r="15" spans="2:5">
      <c r="B15" s="364" t="s">
        <v>276</v>
      </c>
      <c r="C15" s="545"/>
      <c r="D15" s="546"/>
      <c r="E15" s="547"/>
    </row>
    <row r="16" ht="13.95" spans="2:5">
      <c r="B16" s="364" t="s">
        <v>277</v>
      </c>
      <c r="C16" s="545"/>
      <c r="D16" s="546"/>
      <c r="E16" s="547"/>
    </row>
    <row r="17" ht="13.95" spans="2:6">
      <c r="B17" s="548" t="s">
        <v>192</v>
      </c>
      <c r="C17" s="549"/>
      <c r="D17" s="550">
        <f>SUM(D14:D16)</f>
        <v>0</v>
      </c>
      <c r="E17" s="551">
        <f>SUM(E14:E16)</f>
        <v>0</v>
      </c>
    </row>
    <row r="18" spans="2:6">
      <c r="B18" s="428" t="s">
        <v>104</v>
      </c>
      <c r="C18" s="242"/>
      <c r="D18" s="243"/>
      <c r="E18" s="243"/>
      <c r="F18" s="244"/>
    </row>
    <row r="20" s="29" customFormat="1" ht="63.75" customHeight="1" spans="2:6">
      <c r="B20" s="30" t="s">
        <v>278</v>
      </c>
      <c r="C20" s="30"/>
      <c r="D20" s="30"/>
      <c r="E20" s="30"/>
    </row>
    <row r="21" s="29" customFormat="1" ht="43.5" customHeight="1" spans="2:6">
      <c r="B21" s="30" t="s">
        <v>279</v>
      </c>
      <c r="C21" s="30"/>
      <c r="D21" s="30"/>
      <c r="E21" s="30"/>
    </row>
    <row r="23" spans="2:6">
      <c r="B23" s="305" t="s">
        <v>105</v>
      </c>
    </row>
    <row r="24" spans="2:6">
      <c r="B24" s="34" t="s">
        <v>106</v>
      </c>
    </row>
    <row r="25" spans="2:6">
      <c r="B25" s="29" t="s">
        <v>107</v>
      </c>
    </row>
    <row r="26" spans="2:6">
      <c r="B26" s="429" t="s">
        <v>108</v>
      </c>
    </row>
    <row r="27" spans="2:6">
      <c r="B27" s="349"/>
    </row>
    <row r="28" spans="2:6">
      <c r="B28" s="349"/>
    </row>
    <row r="74" spans="2:2">
      <c r="B74" s="21" t="e">
        <f>"Firmado a los efectos de su identificación con mi informe de fecha "&amp;TEXT(#REF!,"dd/mm/yyyy")</f>
        <v>#REF!</v>
      </c>
    </row>
  </sheetData>
  <mergeCells count="4">
    <mergeCell ref="B3:E3"/>
    <mergeCell ref="B5:E5"/>
    <mergeCell ref="B20:E20"/>
    <mergeCell ref="B21:E21"/>
  </mergeCells>
  <conditionalFormatting sqref="D18:E18">
    <cfRule type="containsText" dxfId="3" priority="2" operator="between" text="control">
      <formula>NOT(ISERROR(SEARCH("control",D18)))</formula>
    </cfRule>
  </conditionalFormatting>
  <pageMargins left="0.7" right="0.7" top="0.75" bottom="0.75" header="0.3" footer="0.3"/>
  <pageSetup paperSize="9" scale="77"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429"/>
  <sheetViews>
    <sheetView tabSelected="1" topLeftCell="B75" workbookViewId="0">
      <selection activeCell="B6" sqref="B6:H6"/>
    </sheetView>
  </sheetViews>
  <sheetFormatPr defaultColWidth="9.13888888888889" defaultRowHeight="11.4"/>
  <cols>
    <col min="1" max="1" width="1.42592592592593" style="430" customWidth="1"/>
    <col min="2" max="2" width="50.1388888888889" style="430" customWidth="1"/>
    <col min="3" max="3" width="14" style="430" customWidth="1"/>
    <col min="4" max="4" width="15.712962962963" style="430" customWidth="1"/>
    <col min="5" max="5" width="14.1388888888889" style="430" customWidth="1"/>
    <col min="6" max="6" width="15.5740740740741" style="430" customWidth="1"/>
    <col min="7" max="7" width="11.8518518518519" style="430" customWidth="1"/>
    <col min="8" max="8" width="13.287037037037" style="430" customWidth="1"/>
    <col min="9" max="9" width="17.287037037037" style="430" customWidth="1"/>
    <col min="10" max="10" width="2.85185185185185" style="430" customWidth="1"/>
    <col min="11" max="16384" width="9.13888888888889" style="430"/>
  </cols>
  <sheetData>
    <row r="1" ht="12.15"/>
    <row r="2" ht="13.8" spans="2:9">
      <c r="B2" s="379" t="s">
        <v>0</v>
      </c>
      <c r="C2" s="380"/>
      <c r="D2" s="431"/>
      <c r="E2" s="431"/>
      <c r="F2" s="431"/>
      <c r="G2" s="432"/>
      <c r="H2" s="432"/>
      <c r="I2" s="433"/>
    </row>
    <row r="3" ht="13.8" spans="2:9">
      <c r="B3" s="383" t="s">
        <v>280</v>
      </c>
      <c r="C3" s="41"/>
      <c r="D3" s="41"/>
      <c r="E3" s="41"/>
      <c r="F3" s="41"/>
      <c r="G3" s="41"/>
      <c r="H3" s="41"/>
      <c r="I3" s="384"/>
    </row>
    <row r="4" ht="31.5" customHeight="1" spans="2:9">
      <c r="B4" s="434" t="s">
        <v>110</v>
      </c>
      <c r="C4" s="435"/>
      <c r="D4" s="435"/>
      <c r="E4" s="435"/>
      <c r="F4" s="435"/>
      <c r="G4" s="435"/>
      <c r="H4" s="435"/>
      <c r="I4" s="436"/>
    </row>
    <row r="5" ht="24" spans="2:9">
      <c r="B5" s="437" t="s">
        <v>281</v>
      </c>
      <c r="C5" s="432"/>
      <c r="D5" s="432"/>
      <c r="E5" s="432"/>
      <c r="F5" s="432"/>
      <c r="G5" s="432"/>
      <c r="H5" s="432"/>
      <c r="I5" s="438" t="s">
        <v>282</v>
      </c>
    </row>
    <row r="6" ht="13.2" spans="2:9">
      <c r="B6" s="439" t="s">
        <v>283</v>
      </c>
      <c r="C6" s="440"/>
      <c r="D6" s="440"/>
      <c r="E6" s="440"/>
      <c r="F6" s="440"/>
      <c r="G6" s="440"/>
      <c r="H6" s="441"/>
      <c r="I6" s="442"/>
    </row>
    <row r="7" ht="53.25" customHeight="1" spans="2:9">
      <c r="B7" s="443" t="s">
        <v>284</v>
      </c>
      <c r="C7" s="444"/>
      <c r="D7" s="444"/>
      <c r="E7" s="444"/>
      <c r="F7" s="444"/>
      <c r="G7" s="444"/>
      <c r="H7" s="444"/>
      <c r="I7" s="445" t="s">
        <v>285</v>
      </c>
    </row>
    <row r="8" ht="117.75" customHeight="1" spans="2:9">
      <c r="B8" s="446" t="s">
        <v>286</v>
      </c>
      <c r="C8" s="428"/>
      <c r="D8" s="428"/>
      <c r="E8" s="428"/>
      <c r="F8" s="428"/>
      <c r="G8" s="428"/>
      <c r="H8" s="428"/>
      <c r="I8" s="445"/>
    </row>
    <row r="9" ht="271.5" customHeight="1" spans="2:9">
      <c r="B9" s="447" t="s">
        <v>287</v>
      </c>
      <c r="C9" s="448"/>
      <c r="D9" s="448"/>
      <c r="E9" s="448"/>
      <c r="F9" s="448"/>
      <c r="G9" s="448"/>
      <c r="H9" s="448"/>
      <c r="I9" s="449" t="s">
        <v>288</v>
      </c>
    </row>
    <row r="10" ht="12" spans="2:9">
      <c r="B10" s="450" t="s">
        <v>289</v>
      </c>
      <c r="I10" s="445"/>
    </row>
    <row r="11" ht="26.25" customHeight="1" spans="2:9">
      <c r="B11" s="451" t="s">
        <v>290</v>
      </c>
      <c r="C11" s="452"/>
      <c r="D11" s="452"/>
      <c r="E11" s="452"/>
      <c r="F11" s="452"/>
      <c r="G11" s="452"/>
      <c r="H11" s="452"/>
      <c r="I11" s="449" t="s">
        <v>291</v>
      </c>
    </row>
    <row r="12" ht="32.25" customHeight="1" spans="2:9">
      <c r="B12" s="453" t="s">
        <v>292</v>
      </c>
      <c r="C12" s="454"/>
      <c r="D12" s="454"/>
      <c r="E12" s="454"/>
      <c r="F12" s="454"/>
      <c r="G12" s="454"/>
      <c r="H12" s="454"/>
      <c r="I12" s="449" t="s">
        <v>293</v>
      </c>
    </row>
    <row r="13" ht="30.75" customHeight="1" spans="2:9">
      <c r="B13" s="455" t="s">
        <v>294</v>
      </c>
      <c r="C13" s="456"/>
      <c r="D13" s="456"/>
      <c r="E13" s="456"/>
      <c r="F13" s="456"/>
      <c r="G13" s="456"/>
      <c r="H13" s="456"/>
      <c r="I13" s="449" t="s">
        <v>295</v>
      </c>
    </row>
    <row r="14" ht="12" spans="2:9">
      <c r="B14" s="457" t="s">
        <v>296</v>
      </c>
      <c r="C14" s="454"/>
      <c r="D14" s="454"/>
      <c r="E14" s="454"/>
      <c r="F14" s="454"/>
      <c r="G14" s="454"/>
      <c r="H14" s="454"/>
      <c r="I14" s="458"/>
    </row>
    <row r="15" ht="25.5" customHeight="1" spans="2:9">
      <c r="B15" s="459" t="s">
        <v>297</v>
      </c>
      <c r="C15" s="460"/>
      <c r="D15" s="460"/>
      <c r="E15" s="460"/>
      <c r="F15" s="460"/>
      <c r="G15" s="460"/>
      <c r="H15" s="460"/>
      <c r="I15" s="449" t="s">
        <v>298</v>
      </c>
    </row>
    <row r="16" spans="2:9">
      <c r="B16" s="461"/>
      <c r="I16" s="445"/>
    </row>
    <row r="17" ht="12" spans="2:9">
      <c r="B17" s="450" t="s">
        <v>299</v>
      </c>
      <c r="I17" s="445"/>
    </row>
    <row r="18" ht="48" customHeight="1" spans="2:9">
      <c r="B18" s="462" t="s">
        <v>300</v>
      </c>
      <c r="C18" s="460"/>
      <c r="D18" s="460"/>
      <c r="E18" s="460"/>
      <c r="F18" s="460"/>
      <c r="G18" s="460"/>
      <c r="H18" s="460"/>
      <c r="I18" s="445"/>
    </row>
    <row r="19" spans="2:9">
      <c r="B19" s="463" t="s">
        <v>301</v>
      </c>
      <c r="C19" s="464" t="s">
        <v>302</v>
      </c>
      <c r="D19" s="464" t="s">
        <v>303</v>
      </c>
      <c r="I19" s="445"/>
    </row>
    <row r="20" spans="2:9">
      <c r="B20" s="463" t="s">
        <v>304</v>
      </c>
      <c r="C20" s="464"/>
      <c r="D20" s="464"/>
      <c r="I20" s="445"/>
    </row>
    <row r="21" spans="2:9">
      <c r="B21" s="463" t="s">
        <v>305</v>
      </c>
      <c r="C21" s="464"/>
      <c r="D21" s="464"/>
      <c r="I21" s="445"/>
    </row>
    <row r="22" spans="2:9">
      <c r="B22" s="463" t="s">
        <v>306</v>
      </c>
      <c r="C22" s="464"/>
      <c r="D22" s="464"/>
      <c r="I22" s="445"/>
    </row>
    <row r="23" spans="2:9">
      <c r="B23" s="463" t="s">
        <v>307</v>
      </c>
      <c r="C23" s="464"/>
      <c r="D23" s="464"/>
      <c r="I23" s="445"/>
    </row>
    <row r="24" spans="2:9">
      <c r="B24" s="463" t="s">
        <v>145</v>
      </c>
      <c r="C24" s="464"/>
      <c r="D24" s="464"/>
      <c r="I24" s="445"/>
    </row>
    <row r="25" spans="2:9">
      <c r="B25" s="461"/>
      <c r="I25" s="445"/>
    </row>
    <row r="26" ht="64.5" customHeight="1" spans="2:9">
      <c r="B26" s="462" t="s">
        <v>308</v>
      </c>
      <c r="C26" s="460"/>
      <c r="D26" s="460"/>
      <c r="E26" s="460"/>
      <c r="F26" s="460"/>
      <c r="G26" s="460"/>
      <c r="H26" s="460"/>
      <c r="I26" s="449" t="s">
        <v>309</v>
      </c>
    </row>
    <row r="27" spans="2:9">
      <c r="B27" s="463" t="s">
        <v>301</v>
      </c>
      <c r="C27" s="465" t="s">
        <v>310</v>
      </c>
      <c r="D27" s="465"/>
      <c r="E27" s="466" t="s">
        <v>311</v>
      </c>
      <c r="F27" s="467"/>
      <c r="I27" s="445"/>
    </row>
    <row r="28" spans="2:9">
      <c r="B28" s="463"/>
      <c r="C28" s="464" t="s">
        <v>302</v>
      </c>
      <c r="D28" s="464" t="s">
        <v>303</v>
      </c>
      <c r="E28" s="464" t="s">
        <v>302</v>
      </c>
      <c r="F28" s="464" t="s">
        <v>303</v>
      </c>
      <c r="I28" s="445"/>
    </row>
    <row r="29" spans="2:9">
      <c r="B29" s="463" t="s">
        <v>312</v>
      </c>
      <c r="C29" s="464"/>
      <c r="D29" s="464"/>
      <c r="E29" s="464"/>
      <c r="F29" s="464"/>
      <c r="I29" s="445"/>
    </row>
    <row r="30" spans="2:9">
      <c r="B30" s="463" t="s">
        <v>313</v>
      </c>
      <c r="C30" s="464"/>
      <c r="D30" s="464"/>
      <c r="E30" s="464"/>
      <c r="F30" s="464"/>
      <c r="I30" s="445"/>
    </row>
    <row r="31" spans="2:9">
      <c r="B31" s="463" t="s">
        <v>314</v>
      </c>
      <c r="C31" s="464"/>
      <c r="D31" s="464"/>
      <c r="E31" s="464"/>
      <c r="F31" s="464"/>
      <c r="I31" s="445"/>
    </row>
    <row r="32" spans="2:9">
      <c r="B32" s="463" t="s">
        <v>315</v>
      </c>
      <c r="C32" s="464"/>
      <c r="D32" s="464"/>
      <c r="E32" s="464"/>
      <c r="F32" s="464"/>
      <c r="I32" s="445"/>
    </row>
    <row r="33" spans="2:9">
      <c r="B33" s="463" t="s">
        <v>316</v>
      </c>
      <c r="C33" s="464"/>
      <c r="D33" s="464"/>
      <c r="E33" s="464"/>
      <c r="F33" s="464"/>
      <c r="I33" s="445"/>
    </row>
    <row r="34" spans="2:9">
      <c r="B34" s="463" t="s">
        <v>317</v>
      </c>
      <c r="C34" s="464"/>
      <c r="D34" s="464"/>
      <c r="E34" s="464"/>
      <c r="F34" s="464"/>
      <c r="I34" s="445"/>
    </row>
    <row r="35" spans="2:9">
      <c r="B35" s="463" t="s">
        <v>318</v>
      </c>
      <c r="C35" s="464"/>
      <c r="D35" s="464"/>
      <c r="E35" s="464"/>
      <c r="F35" s="464"/>
      <c r="I35" s="445"/>
    </row>
    <row r="36" spans="2:9">
      <c r="B36" s="463" t="s">
        <v>319</v>
      </c>
      <c r="C36" s="464"/>
      <c r="D36" s="464"/>
      <c r="E36" s="464"/>
      <c r="F36" s="464"/>
      <c r="I36" s="445"/>
    </row>
    <row r="37" spans="2:9">
      <c r="B37" s="463" t="s">
        <v>320</v>
      </c>
      <c r="C37" s="464"/>
      <c r="D37" s="464"/>
      <c r="E37" s="464"/>
      <c r="F37" s="464"/>
      <c r="I37" s="445"/>
    </row>
    <row r="38" ht="22.8" spans="2:9">
      <c r="B38" s="468" t="s">
        <v>321</v>
      </c>
      <c r="C38" s="464"/>
      <c r="D38" s="464"/>
      <c r="E38" s="464"/>
      <c r="F38" s="464"/>
      <c r="I38" s="445"/>
    </row>
    <row r="39" spans="2:9">
      <c r="B39" s="463" t="s">
        <v>145</v>
      </c>
      <c r="C39" s="464"/>
      <c r="D39" s="464"/>
      <c r="E39" s="464"/>
      <c r="F39" s="464"/>
      <c r="I39" s="445"/>
    </row>
    <row r="40" spans="2:9">
      <c r="B40" s="461"/>
      <c r="I40" s="445"/>
    </row>
    <row r="41" ht="35.25" customHeight="1" spans="2:9">
      <c r="B41" s="462" t="s">
        <v>322</v>
      </c>
      <c r="C41" s="460"/>
      <c r="D41" s="460"/>
      <c r="E41" s="460"/>
      <c r="F41" s="460"/>
      <c r="G41" s="460"/>
      <c r="H41" s="460"/>
      <c r="I41" s="449" t="s">
        <v>323</v>
      </c>
    </row>
    <row r="42" spans="2:9">
      <c r="B42" s="463" t="s">
        <v>301</v>
      </c>
      <c r="C42" s="465" t="s">
        <v>310</v>
      </c>
      <c r="D42" s="465"/>
      <c r="E42" s="466" t="s">
        <v>311</v>
      </c>
      <c r="F42" s="467"/>
      <c r="I42" s="445"/>
    </row>
    <row r="43" spans="2:9">
      <c r="B43" s="463"/>
      <c r="C43" s="464" t="s">
        <v>302</v>
      </c>
      <c r="D43" s="464" t="s">
        <v>303</v>
      </c>
      <c r="E43" s="464" t="s">
        <v>302</v>
      </c>
      <c r="F43" s="464" t="s">
        <v>303</v>
      </c>
      <c r="I43" s="445"/>
    </row>
    <row r="44" spans="2:9">
      <c r="B44" s="463" t="s">
        <v>324</v>
      </c>
      <c r="C44" s="464"/>
      <c r="D44" s="464"/>
      <c r="E44" s="464"/>
      <c r="F44" s="464"/>
      <c r="I44" s="445"/>
    </row>
    <row r="45" spans="2:9">
      <c r="B45" s="463" t="s">
        <v>325</v>
      </c>
      <c r="C45" s="464"/>
      <c r="D45" s="464"/>
      <c r="E45" s="464"/>
      <c r="F45" s="464"/>
      <c r="I45" s="445"/>
    </row>
    <row r="46" spans="2:9">
      <c r="B46" s="463" t="s">
        <v>326</v>
      </c>
      <c r="C46" s="464"/>
      <c r="D46" s="464"/>
      <c r="E46" s="464"/>
      <c r="F46" s="464"/>
      <c r="I46" s="445"/>
    </row>
    <row r="47" spans="2:9">
      <c r="B47" s="463" t="s">
        <v>327</v>
      </c>
      <c r="C47" s="464"/>
      <c r="D47" s="464"/>
      <c r="E47" s="464"/>
      <c r="F47" s="464"/>
      <c r="I47" s="445"/>
    </row>
    <row r="48" spans="2:9">
      <c r="B48" s="463" t="s">
        <v>328</v>
      </c>
      <c r="C48" s="464"/>
      <c r="D48" s="464"/>
      <c r="E48" s="464"/>
      <c r="F48" s="464"/>
      <c r="I48" s="445"/>
    </row>
    <row r="49" spans="2:9">
      <c r="B49" s="463" t="s">
        <v>320</v>
      </c>
      <c r="C49" s="464"/>
      <c r="D49" s="464"/>
      <c r="E49" s="464"/>
      <c r="F49" s="464"/>
      <c r="I49" s="445"/>
    </row>
    <row r="50" ht="22.8" spans="2:9">
      <c r="B50" s="468" t="s">
        <v>329</v>
      </c>
      <c r="C50" s="464"/>
      <c r="D50" s="464"/>
      <c r="E50" s="464"/>
      <c r="F50" s="464"/>
      <c r="I50" s="445"/>
    </row>
    <row r="51" spans="2:9">
      <c r="B51" s="463" t="s">
        <v>145</v>
      </c>
      <c r="C51" s="464"/>
      <c r="D51" s="464"/>
      <c r="E51" s="464"/>
      <c r="F51" s="464"/>
      <c r="I51" s="445"/>
    </row>
    <row r="52" spans="2:9">
      <c r="B52" s="461" t="s">
        <v>330</v>
      </c>
      <c r="I52" s="445"/>
    </row>
    <row r="53" spans="2:9">
      <c r="B53" s="461"/>
      <c r="I53" s="445"/>
    </row>
    <row r="54" ht="45" customHeight="1" spans="2:9">
      <c r="B54" s="462" t="s">
        <v>331</v>
      </c>
      <c r="C54" s="460"/>
      <c r="D54" s="460"/>
      <c r="E54" s="460"/>
      <c r="F54" s="460"/>
      <c r="G54" s="460"/>
      <c r="H54" s="460"/>
      <c r="I54" s="445"/>
    </row>
    <row r="55" ht="48" customHeight="1" spans="2:9">
      <c r="B55" s="463" t="s">
        <v>301</v>
      </c>
      <c r="C55" s="465" t="s">
        <v>310</v>
      </c>
      <c r="D55" s="465"/>
      <c r="E55" s="466" t="s">
        <v>311</v>
      </c>
      <c r="F55" s="467"/>
      <c r="I55" s="445"/>
    </row>
    <row r="56" spans="2:9">
      <c r="B56" s="463"/>
      <c r="C56" s="464" t="s">
        <v>302</v>
      </c>
      <c r="D56" s="464" t="s">
        <v>303</v>
      </c>
      <c r="E56" s="464" t="s">
        <v>302</v>
      </c>
      <c r="F56" s="464" t="s">
        <v>303</v>
      </c>
      <c r="I56" s="445"/>
    </row>
    <row r="57" spans="2:9">
      <c r="B57" s="463" t="s">
        <v>325</v>
      </c>
      <c r="C57" s="464"/>
      <c r="D57" s="464"/>
      <c r="E57" s="464"/>
      <c r="F57" s="464"/>
      <c r="I57" s="445"/>
    </row>
    <row r="58" spans="2:9">
      <c r="B58" s="463" t="s">
        <v>328</v>
      </c>
      <c r="C58" s="464"/>
      <c r="D58" s="464"/>
      <c r="E58" s="464"/>
      <c r="F58" s="464"/>
      <c r="I58" s="445"/>
    </row>
    <row r="59" spans="2:9">
      <c r="B59" s="463" t="s">
        <v>320</v>
      </c>
      <c r="C59" s="464"/>
      <c r="D59" s="464"/>
      <c r="E59" s="464"/>
      <c r="F59" s="464"/>
      <c r="I59" s="445"/>
    </row>
    <row r="60" ht="34.2" spans="2:9">
      <c r="B60" s="468" t="s">
        <v>332</v>
      </c>
      <c r="C60" s="464"/>
      <c r="D60" s="464"/>
      <c r="E60" s="464"/>
      <c r="F60" s="464"/>
      <c r="I60" s="445"/>
    </row>
    <row r="61" spans="2:9">
      <c r="B61" s="463" t="s">
        <v>333</v>
      </c>
      <c r="C61" s="464"/>
      <c r="D61" s="464"/>
      <c r="E61" s="464"/>
      <c r="F61" s="464"/>
      <c r="I61" s="445"/>
    </row>
    <row r="62" spans="2:9">
      <c r="B62" s="469" t="s">
        <v>334</v>
      </c>
      <c r="I62" s="445"/>
    </row>
    <row r="63" ht="12" customHeight="1" spans="2:9">
      <c r="B63" s="462" t="s">
        <v>335</v>
      </c>
      <c r="C63" s="460"/>
      <c r="D63" s="460"/>
      <c r="E63" s="460"/>
      <c r="F63" s="460"/>
      <c r="G63" s="460"/>
      <c r="H63" s="460"/>
      <c r="I63" s="445"/>
    </row>
    <row r="64" spans="2:9">
      <c r="B64" s="470" t="s">
        <v>301</v>
      </c>
      <c r="C64" s="471" t="s">
        <v>310</v>
      </c>
      <c r="D64" s="471"/>
      <c r="E64" s="472" t="s">
        <v>311</v>
      </c>
      <c r="F64" s="473"/>
      <c r="I64" s="445"/>
    </row>
    <row r="65" ht="20.25" customHeight="1" spans="2:9">
      <c r="B65" s="474"/>
      <c r="C65" s="464" t="s">
        <v>302</v>
      </c>
      <c r="D65" s="464" t="s">
        <v>303</v>
      </c>
      <c r="E65" s="464" t="s">
        <v>302</v>
      </c>
      <c r="F65" s="464" t="s">
        <v>303</v>
      </c>
      <c r="I65" s="445"/>
    </row>
    <row r="66" spans="2:9">
      <c r="B66" s="463" t="s">
        <v>336</v>
      </c>
      <c r="C66" s="464"/>
      <c r="D66" s="464"/>
      <c r="E66" s="464"/>
      <c r="F66" s="464"/>
      <c r="I66" s="445"/>
    </row>
    <row r="67" ht="22.8" spans="2:9">
      <c r="B67" s="468" t="s">
        <v>337</v>
      </c>
      <c r="C67" s="464"/>
      <c r="D67" s="464"/>
      <c r="E67" s="464"/>
      <c r="F67" s="464"/>
      <c r="I67" s="445"/>
    </row>
    <row r="68" spans="2:9">
      <c r="B68" s="463" t="s">
        <v>338</v>
      </c>
      <c r="C68" s="464"/>
      <c r="D68" s="464"/>
      <c r="E68" s="464"/>
      <c r="F68" s="464"/>
      <c r="I68" s="445"/>
    </row>
    <row r="69" spans="2:9">
      <c r="B69" s="463" t="s">
        <v>339</v>
      </c>
      <c r="C69" s="464"/>
      <c r="D69" s="464"/>
      <c r="E69" s="464"/>
      <c r="F69" s="464"/>
      <c r="I69" s="445"/>
    </row>
    <row r="70" ht="22.8" spans="2:9">
      <c r="B70" s="468" t="s">
        <v>340</v>
      </c>
      <c r="C70" s="464"/>
      <c r="D70" s="464"/>
      <c r="E70" s="464"/>
      <c r="F70" s="464"/>
      <c r="I70" s="445"/>
    </row>
    <row r="71" spans="2:9">
      <c r="B71" s="463" t="s">
        <v>341</v>
      </c>
      <c r="C71" s="464"/>
      <c r="D71" s="464"/>
      <c r="E71" s="464"/>
      <c r="F71" s="464"/>
      <c r="I71" s="445"/>
    </row>
    <row r="72" spans="2:9">
      <c r="B72" s="463" t="s">
        <v>342</v>
      </c>
      <c r="C72" s="464"/>
      <c r="D72" s="464"/>
      <c r="E72" s="464"/>
      <c r="F72" s="464"/>
      <c r="I72" s="445"/>
    </row>
    <row r="73" spans="2:9">
      <c r="B73" s="463" t="s">
        <v>145</v>
      </c>
      <c r="C73" s="464"/>
      <c r="D73" s="464"/>
      <c r="E73" s="464"/>
      <c r="F73" s="464"/>
      <c r="I73" s="445"/>
    </row>
    <row r="74" spans="2:9">
      <c r="B74" s="461"/>
      <c r="I74" s="445"/>
    </row>
    <row r="75" ht="65.25" customHeight="1" spans="2:9">
      <c r="B75" s="462" t="s">
        <v>343</v>
      </c>
      <c r="C75" s="460"/>
      <c r="D75" s="460"/>
      <c r="E75" s="460"/>
      <c r="F75" s="460"/>
      <c r="G75" s="460"/>
      <c r="H75" s="460"/>
      <c r="I75" s="449" t="s">
        <v>323</v>
      </c>
    </row>
    <row r="76" spans="2:9">
      <c r="B76" s="461"/>
      <c r="I76" s="445"/>
    </row>
    <row r="77" ht="72" customHeight="1" spans="2:9">
      <c r="B77" s="462" t="s">
        <v>344</v>
      </c>
      <c r="C77" s="460"/>
      <c r="D77" s="460"/>
      <c r="E77" s="460"/>
      <c r="F77" s="460"/>
      <c r="G77" s="460"/>
      <c r="H77" s="460"/>
      <c r="I77" s="449" t="s">
        <v>345</v>
      </c>
    </row>
    <row r="78" spans="2:9">
      <c r="B78" s="475" t="s">
        <v>301</v>
      </c>
      <c r="C78" s="476" t="s">
        <v>310</v>
      </c>
      <c r="D78" s="476"/>
      <c r="E78" s="477" t="s">
        <v>311</v>
      </c>
      <c r="F78" s="478"/>
      <c r="I78" s="445"/>
    </row>
    <row r="79" spans="2:9">
      <c r="B79" s="479"/>
      <c r="C79" s="476" t="s">
        <v>302</v>
      </c>
      <c r="D79" s="476" t="s">
        <v>303</v>
      </c>
      <c r="E79" s="476" t="s">
        <v>302</v>
      </c>
      <c r="F79" s="476" t="s">
        <v>303</v>
      </c>
      <c r="I79" s="445"/>
    </row>
    <row r="80" spans="2:9">
      <c r="B80" s="480" t="s">
        <v>346</v>
      </c>
      <c r="C80" s="476"/>
      <c r="D80" s="476"/>
      <c r="E80" s="476"/>
      <c r="F80" s="476"/>
      <c r="I80" s="445"/>
    </row>
    <row r="81" spans="2:9">
      <c r="B81" s="480" t="s">
        <v>347</v>
      </c>
      <c r="C81" s="476"/>
      <c r="D81" s="476"/>
      <c r="E81" s="476"/>
      <c r="F81" s="476"/>
      <c r="I81" s="445"/>
    </row>
    <row r="82" spans="2:9">
      <c r="B82" s="480" t="s">
        <v>319</v>
      </c>
      <c r="C82" s="476"/>
      <c r="D82" s="476"/>
      <c r="E82" s="476"/>
      <c r="F82" s="476"/>
      <c r="I82" s="445"/>
    </row>
    <row r="83" spans="2:9">
      <c r="B83" s="480" t="s">
        <v>320</v>
      </c>
      <c r="C83" s="476"/>
      <c r="D83" s="476"/>
      <c r="E83" s="476"/>
      <c r="F83" s="476"/>
      <c r="I83" s="445"/>
    </row>
    <row r="84" spans="2:9">
      <c r="B84" s="480" t="s">
        <v>348</v>
      </c>
      <c r="C84" s="476"/>
      <c r="D84" s="476"/>
      <c r="E84" s="476"/>
      <c r="F84" s="476"/>
      <c r="I84" s="445"/>
    </row>
    <row r="85" spans="2:9">
      <c r="B85" s="480" t="s">
        <v>145</v>
      </c>
      <c r="C85" s="476"/>
      <c r="D85" s="476"/>
      <c r="E85" s="476"/>
      <c r="F85" s="476"/>
      <c r="I85" s="445"/>
    </row>
    <row r="86" spans="2:9">
      <c r="B86" s="461"/>
      <c r="I86" s="445"/>
    </row>
    <row r="87" ht="60" customHeight="1" spans="2:9">
      <c r="B87" s="462" t="s">
        <v>349</v>
      </c>
      <c r="C87" s="460"/>
      <c r="D87" s="460"/>
      <c r="E87" s="460"/>
      <c r="F87" s="460"/>
      <c r="G87" s="460"/>
      <c r="H87" s="460"/>
      <c r="I87" s="445"/>
    </row>
    <row r="88" spans="2:9">
      <c r="B88" s="475" t="s">
        <v>301</v>
      </c>
      <c r="C88" s="466" t="s">
        <v>310</v>
      </c>
      <c r="D88" s="467"/>
      <c r="E88" s="466" t="s">
        <v>311</v>
      </c>
      <c r="F88" s="467"/>
      <c r="I88" s="445"/>
    </row>
    <row r="89" spans="2:9">
      <c r="B89" s="479"/>
      <c r="C89" s="464" t="s">
        <v>302</v>
      </c>
      <c r="D89" s="464" t="s">
        <v>303</v>
      </c>
      <c r="E89" s="464" t="s">
        <v>302</v>
      </c>
      <c r="F89" s="464" t="s">
        <v>303</v>
      </c>
      <c r="I89" s="445"/>
    </row>
    <row r="90" spans="2:9">
      <c r="B90" s="463" t="s">
        <v>350</v>
      </c>
      <c r="C90" s="464"/>
      <c r="D90" s="464"/>
      <c r="E90" s="464"/>
      <c r="F90" s="464"/>
      <c r="I90" s="445"/>
    </row>
    <row r="91" spans="2:9">
      <c r="B91" s="463" t="s">
        <v>351</v>
      </c>
      <c r="C91" s="464"/>
      <c r="D91" s="464"/>
      <c r="E91" s="464"/>
      <c r="F91" s="464"/>
      <c r="I91" s="445"/>
    </row>
    <row r="92" spans="2:9">
      <c r="B92" s="463" t="s">
        <v>352</v>
      </c>
      <c r="C92" s="464"/>
      <c r="D92" s="464"/>
      <c r="E92" s="464"/>
      <c r="F92" s="464"/>
      <c r="I92" s="445"/>
    </row>
    <row r="93" spans="2:9">
      <c r="B93" s="463" t="s">
        <v>353</v>
      </c>
      <c r="C93" s="464"/>
      <c r="D93" s="464"/>
      <c r="E93" s="464"/>
      <c r="F93" s="464"/>
      <c r="I93" s="445"/>
    </row>
    <row r="94" spans="2:9">
      <c r="B94" s="463" t="s">
        <v>320</v>
      </c>
      <c r="C94" s="464"/>
      <c r="D94" s="464"/>
      <c r="E94" s="464"/>
      <c r="F94" s="464"/>
      <c r="I94" s="445"/>
    </row>
    <row r="95" spans="2:9">
      <c r="B95" s="463" t="s">
        <v>354</v>
      </c>
      <c r="C95" s="464"/>
      <c r="D95" s="464"/>
      <c r="E95" s="464"/>
      <c r="F95" s="464"/>
      <c r="I95" s="445"/>
    </row>
    <row r="96" spans="2:9">
      <c r="B96" s="463" t="s">
        <v>145</v>
      </c>
      <c r="C96" s="464"/>
      <c r="D96" s="464"/>
      <c r="E96" s="464"/>
      <c r="F96" s="464"/>
      <c r="I96" s="445"/>
    </row>
    <row r="97" spans="2:9">
      <c r="B97" s="461"/>
      <c r="I97" s="445"/>
    </row>
    <row r="98" ht="36.75" customHeight="1" spans="2:9">
      <c r="B98" s="462" t="s">
        <v>355</v>
      </c>
      <c r="C98" s="460"/>
      <c r="D98" s="460"/>
      <c r="E98" s="460"/>
      <c r="F98" s="460"/>
      <c r="G98" s="460"/>
      <c r="H98" s="460"/>
      <c r="I98" s="445" t="s">
        <v>356</v>
      </c>
    </row>
    <row r="99" spans="2:9">
      <c r="B99" s="463" t="s">
        <v>301</v>
      </c>
      <c r="C99" s="464" t="s">
        <v>310</v>
      </c>
      <c r="D99" s="464"/>
      <c r="E99" s="464" t="s">
        <v>311</v>
      </c>
      <c r="F99" s="464"/>
      <c r="I99" s="445"/>
    </row>
    <row r="100" spans="2:9">
      <c r="B100" s="463"/>
      <c r="C100" s="464" t="s">
        <v>302</v>
      </c>
      <c r="D100" s="464" t="s">
        <v>303</v>
      </c>
      <c r="E100" s="464" t="s">
        <v>302</v>
      </c>
      <c r="F100" s="464" t="s">
        <v>303</v>
      </c>
      <c r="I100" s="445"/>
    </row>
    <row r="101" spans="2:9">
      <c r="B101" s="463" t="s">
        <v>357</v>
      </c>
      <c r="C101" s="464"/>
      <c r="D101" s="464"/>
      <c r="E101" s="464"/>
      <c r="F101" s="464"/>
      <c r="I101" s="445"/>
    </row>
    <row r="102" spans="2:9">
      <c r="B102" s="463" t="s">
        <v>358</v>
      </c>
      <c r="C102" s="464"/>
      <c r="D102" s="464"/>
      <c r="E102" s="464"/>
      <c r="F102" s="464"/>
      <c r="I102" s="445"/>
    </row>
    <row r="103" spans="2:9">
      <c r="B103" s="463" t="s">
        <v>359</v>
      </c>
      <c r="C103" s="464"/>
      <c r="D103" s="464"/>
      <c r="E103" s="464"/>
      <c r="F103" s="464"/>
      <c r="I103" s="445"/>
    </row>
    <row r="104" spans="2:9">
      <c r="B104" s="463" t="s">
        <v>360</v>
      </c>
      <c r="C104" s="464"/>
      <c r="D104" s="464"/>
      <c r="E104" s="464"/>
      <c r="F104" s="464"/>
      <c r="I104" s="445"/>
    </row>
    <row r="105" spans="2:9">
      <c r="B105" s="463" t="s">
        <v>361</v>
      </c>
      <c r="C105" s="464"/>
      <c r="D105" s="464"/>
      <c r="E105" s="464"/>
      <c r="F105" s="464"/>
      <c r="I105" s="445"/>
    </row>
    <row r="106" spans="2:9">
      <c r="B106" s="463" t="s">
        <v>362</v>
      </c>
      <c r="C106" s="464"/>
      <c r="D106" s="464"/>
      <c r="E106" s="464"/>
      <c r="F106" s="464"/>
      <c r="I106" s="445"/>
    </row>
    <row r="107" spans="2:9">
      <c r="B107" s="463" t="s">
        <v>319</v>
      </c>
      <c r="C107" s="464"/>
      <c r="D107" s="464"/>
      <c r="E107" s="464"/>
      <c r="F107" s="464"/>
      <c r="I107" s="445"/>
    </row>
    <row r="108" spans="2:9">
      <c r="B108" s="463" t="s">
        <v>320</v>
      </c>
      <c r="C108" s="464"/>
      <c r="D108" s="464"/>
      <c r="E108" s="464"/>
      <c r="F108" s="464"/>
      <c r="I108" s="445"/>
    </row>
    <row r="109" spans="2:9">
      <c r="B109" s="463" t="s">
        <v>363</v>
      </c>
      <c r="C109" s="464"/>
      <c r="D109" s="464"/>
      <c r="E109" s="464"/>
      <c r="F109" s="464"/>
      <c r="I109" s="445"/>
    </row>
    <row r="110" spans="2:9">
      <c r="B110" s="463" t="s">
        <v>364</v>
      </c>
      <c r="C110" s="464"/>
      <c r="D110" s="464"/>
      <c r="E110" s="464"/>
      <c r="F110" s="464"/>
      <c r="I110" s="445"/>
    </row>
    <row r="111" spans="2:9">
      <c r="B111" s="461"/>
      <c r="I111" s="445"/>
    </row>
    <row r="112" ht="202.5" customHeight="1" spans="2:9">
      <c r="B112" s="462" t="s">
        <v>365</v>
      </c>
      <c r="C112" s="460"/>
      <c r="D112" s="460"/>
      <c r="E112" s="460"/>
      <c r="F112" s="460"/>
      <c r="G112" s="460"/>
      <c r="H112" s="460"/>
      <c r="I112" s="449" t="s">
        <v>366</v>
      </c>
    </row>
    <row r="113" spans="2:9">
      <c r="B113" s="461"/>
      <c r="I113" s="445"/>
    </row>
    <row r="114" ht="113.25" customHeight="1" spans="2:9">
      <c r="B114" s="462" t="s">
        <v>367</v>
      </c>
      <c r="C114" s="460"/>
      <c r="D114" s="460"/>
      <c r="E114" s="460"/>
      <c r="F114" s="460"/>
      <c r="G114" s="460"/>
      <c r="H114" s="460"/>
      <c r="I114" s="449" t="s">
        <v>368</v>
      </c>
    </row>
    <row r="115" spans="2:9">
      <c r="B115" s="461"/>
      <c r="I115" s="445"/>
    </row>
    <row r="116" ht="36" customHeight="1" spans="2:9">
      <c r="B116" s="462" t="s">
        <v>369</v>
      </c>
      <c r="C116" s="460"/>
      <c r="D116" s="460"/>
      <c r="E116" s="460"/>
      <c r="F116" s="460"/>
      <c r="G116" s="460"/>
      <c r="H116" s="460"/>
      <c r="I116" s="445"/>
    </row>
    <row r="117" spans="2:9">
      <c r="B117" s="461"/>
      <c r="I117" s="445"/>
    </row>
    <row r="118" spans="2:9">
      <c r="B118" s="481" t="s">
        <v>301</v>
      </c>
      <c r="C118" s="464" t="s">
        <v>310</v>
      </c>
      <c r="D118" s="464"/>
      <c r="E118" s="464" t="s">
        <v>311</v>
      </c>
      <c r="F118" s="464"/>
      <c r="I118" s="445"/>
    </row>
    <row r="119" spans="2:9">
      <c r="B119" s="481"/>
      <c r="C119" s="464" t="s">
        <v>302</v>
      </c>
      <c r="D119" s="464" t="s">
        <v>303</v>
      </c>
      <c r="E119" s="464" t="s">
        <v>302</v>
      </c>
      <c r="F119" s="464" t="s">
        <v>303</v>
      </c>
      <c r="I119" s="445"/>
    </row>
    <row r="120" spans="2:9">
      <c r="B120" s="463" t="s">
        <v>370</v>
      </c>
      <c r="C120" s="464"/>
      <c r="D120" s="464"/>
      <c r="E120" s="464"/>
      <c r="F120" s="464"/>
      <c r="I120" s="445"/>
    </row>
    <row r="121" spans="2:9">
      <c r="B121" s="463" t="s">
        <v>371</v>
      </c>
      <c r="C121" s="464"/>
      <c r="D121" s="464"/>
      <c r="E121" s="464"/>
      <c r="F121" s="464"/>
      <c r="I121" s="445"/>
    </row>
    <row r="122" spans="2:9">
      <c r="B122" s="463" t="s">
        <v>372</v>
      </c>
      <c r="C122" s="464"/>
      <c r="D122" s="464"/>
      <c r="E122" s="464"/>
      <c r="F122" s="464"/>
      <c r="I122" s="445"/>
    </row>
    <row r="123" spans="2:9">
      <c r="B123" s="463" t="s">
        <v>320</v>
      </c>
      <c r="C123" s="464"/>
      <c r="D123" s="464"/>
      <c r="E123" s="464"/>
      <c r="F123" s="464"/>
      <c r="I123" s="445"/>
    </row>
    <row r="124" spans="2:9">
      <c r="B124" s="463" t="s">
        <v>373</v>
      </c>
      <c r="C124" s="464"/>
      <c r="D124" s="464"/>
      <c r="E124" s="464"/>
      <c r="F124" s="464"/>
      <c r="I124" s="445"/>
    </row>
    <row r="125" spans="2:9">
      <c r="B125" s="463" t="s">
        <v>145</v>
      </c>
      <c r="C125" s="464"/>
      <c r="D125" s="464"/>
      <c r="E125" s="464"/>
      <c r="F125" s="464"/>
      <c r="I125" s="445"/>
    </row>
    <row r="126" spans="2:9">
      <c r="B126" s="461"/>
      <c r="I126" s="445"/>
    </row>
    <row r="127" ht="62.25" customHeight="1" spans="2:9">
      <c r="B127" s="462" t="s">
        <v>374</v>
      </c>
      <c r="C127" s="460"/>
      <c r="D127" s="460"/>
      <c r="E127" s="460"/>
      <c r="F127" s="460"/>
      <c r="G127" s="460"/>
      <c r="H127" s="460"/>
      <c r="I127" s="445"/>
    </row>
    <row r="128" spans="2:9">
      <c r="B128" s="461"/>
      <c r="I128" s="445"/>
    </row>
    <row r="129" ht="40.5" customHeight="1" spans="2:9">
      <c r="B129" s="462" t="s">
        <v>375</v>
      </c>
      <c r="C129" s="460"/>
      <c r="D129" s="460"/>
      <c r="E129" s="460"/>
      <c r="F129" s="460"/>
      <c r="G129" s="460"/>
      <c r="H129" s="460"/>
      <c r="I129" s="449" t="s">
        <v>376</v>
      </c>
    </row>
    <row r="130" spans="2:9">
      <c r="B130" s="481" t="s">
        <v>301</v>
      </c>
      <c r="C130" s="464" t="s">
        <v>310</v>
      </c>
      <c r="D130" s="464"/>
      <c r="E130" s="464" t="s">
        <v>311</v>
      </c>
      <c r="F130" s="464"/>
      <c r="I130" s="445"/>
    </row>
    <row r="131" spans="2:9">
      <c r="B131" s="481"/>
      <c r="C131" s="464" t="s">
        <v>302</v>
      </c>
      <c r="D131" s="464" t="s">
        <v>303</v>
      </c>
      <c r="E131" s="464" t="s">
        <v>302</v>
      </c>
      <c r="F131" s="464" t="s">
        <v>303</v>
      </c>
      <c r="I131" s="445"/>
    </row>
    <row r="132" spans="2:9">
      <c r="B132" s="463" t="s">
        <v>377</v>
      </c>
      <c r="C132" s="464"/>
      <c r="D132" s="464"/>
      <c r="E132" s="464"/>
      <c r="F132" s="464"/>
      <c r="I132" s="445"/>
    </row>
    <row r="133" spans="2:9">
      <c r="B133" s="463" t="s">
        <v>378</v>
      </c>
      <c r="C133" s="464"/>
      <c r="D133" s="464"/>
      <c r="E133" s="464"/>
      <c r="F133" s="464"/>
      <c r="I133" s="445"/>
    </row>
    <row r="134" spans="2:9">
      <c r="B134" s="463" t="s">
        <v>379</v>
      </c>
      <c r="C134" s="464"/>
      <c r="D134" s="464"/>
      <c r="E134" s="464"/>
      <c r="F134" s="464"/>
      <c r="I134" s="445"/>
    </row>
    <row r="135" spans="2:9">
      <c r="B135" s="463" t="s">
        <v>319</v>
      </c>
      <c r="C135" s="464"/>
      <c r="D135" s="464"/>
      <c r="E135" s="464"/>
      <c r="F135" s="464"/>
      <c r="I135" s="445"/>
    </row>
    <row r="136" spans="2:9">
      <c r="B136" s="463" t="s">
        <v>320</v>
      </c>
      <c r="C136" s="464"/>
      <c r="D136" s="464"/>
      <c r="E136" s="464"/>
      <c r="F136" s="464"/>
      <c r="I136" s="445"/>
    </row>
    <row r="137" ht="22.8" spans="2:9">
      <c r="B137" s="468" t="s">
        <v>380</v>
      </c>
      <c r="C137" s="464"/>
      <c r="D137" s="464"/>
      <c r="E137" s="464"/>
      <c r="F137" s="464"/>
      <c r="I137" s="445"/>
    </row>
    <row r="138" spans="2:9">
      <c r="B138" s="463" t="s">
        <v>145</v>
      </c>
      <c r="C138" s="464"/>
      <c r="D138" s="464"/>
      <c r="E138" s="464"/>
      <c r="F138" s="464"/>
      <c r="I138" s="445"/>
    </row>
    <row r="139" spans="2:9">
      <c r="B139" s="461"/>
      <c r="I139" s="445"/>
    </row>
    <row r="140" ht="50.25" customHeight="1" spans="2:9">
      <c r="B140" s="462" t="s">
        <v>381</v>
      </c>
      <c r="C140" s="460"/>
      <c r="D140" s="460"/>
      <c r="E140" s="460"/>
      <c r="F140" s="460"/>
      <c r="G140" s="460"/>
      <c r="H140" s="460"/>
      <c r="I140" s="449" t="s">
        <v>382</v>
      </c>
    </row>
    <row r="141" spans="2:9">
      <c r="B141" s="481" t="s">
        <v>301</v>
      </c>
      <c r="C141" s="464" t="s">
        <v>310</v>
      </c>
      <c r="D141" s="464"/>
      <c r="E141" s="464" t="s">
        <v>311</v>
      </c>
      <c r="F141" s="464"/>
      <c r="I141" s="445"/>
    </row>
    <row r="142" spans="2:9">
      <c r="B142" s="481"/>
      <c r="C142" s="464" t="s">
        <v>302</v>
      </c>
      <c r="D142" s="464" t="s">
        <v>303</v>
      </c>
      <c r="E142" s="464" t="s">
        <v>302</v>
      </c>
      <c r="F142" s="464" t="s">
        <v>303</v>
      </c>
      <c r="I142" s="445"/>
    </row>
    <row r="143" spans="2:9">
      <c r="B143" s="463" t="s">
        <v>383</v>
      </c>
      <c r="C143" s="464"/>
      <c r="D143" s="464"/>
      <c r="E143" s="464"/>
      <c r="F143" s="464"/>
      <c r="I143" s="445"/>
    </row>
    <row r="144" spans="2:9">
      <c r="B144" s="463" t="s">
        <v>384</v>
      </c>
      <c r="C144" s="464"/>
      <c r="D144" s="464"/>
      <c r="E144" s="464"/>
      <c r="F144" s="464"/>
      <c r="I144" s="445"/>
    </row>
    <row r="145" spans="2:9">
      <c r="B145" s="463" t="s">
        <v>145</v>
      </c>
      <c r="C145" s="464"/>
      <c r="D145" s="464"/>
      <c r="E145" s="464"/>
      <c r="F145" s="464"/>
      <c r="I145" s="445"/>
    </row>
    <row r="146" spans="2:9">
      <c r="B146" s="461" t="s">
        <v>385</v>
      </c>
      <c r="I146" s="445"/>
    </row>
    <row r="147" spans="2:9">
      <c r="B147" s="461"/>
      <c r="I147" s="445"/>
    </row>
    <row r="148" ht="34.8" spans="2:9">
      <c r="B148" s="482" t="s">
        <v>386</v>
      </c>
      <c r="I148" s="445"/>
    </row>
    <row r="149" spans="2:9">
      <c r="B149" s="481" t="s">
        <v>301</v>
      </c>
      <c r="C149" s="464" t="s">
        <v>310</v>
      </c>
      <c r="D149" s="464"/>
      <c r="E149" s="464" t="s">
        <v>311</v>
      </c>
      <c r="F149" s="464"/>
      <c r="I149" s="445"/>
    </row>
    <row r="150" spans="2:9">
      <c r="B150" s="481"/>
      <c r="C150" s="464" t="s">
        <v>302</v>
      </c>
      <c r="D150" s="464" t="s">
        <v>303</v>
      </c>
      <c r="E150" s="464" t="s">
        <v>302</v>
      </c>
      <c r="F150" s="464" t="s">
        <v>303</v>
      </c>
      <c r="I150" s="445"/>
    </row>
    <row r="151" spans="2:9">
      <c r="B151" s="463" t="s">
        <v>387</v>
      </c>
      <c r="C151" s="464"/>
      <c r="D151" s="464"/>
      <c r="E151" s="464"/>
      <c r="F151" s="464"/>
      <c r="I151" s="445"/>
    </row>
    <row r="152" spans="2:9">
      <c r="B152" s="463" t="s">
        <v>388</v>
      </c>
      <c r="C152" s="464"/>
      <c r="D152" s="464"/>
      <c r="E152" s="464"/>
      <c r="F152" s="464"/>
      <c r="I152" s="445"/>
    </row>
    <row r="153" spans="2:9">
      <c r="B153" s="463" t="s">
        <v>389</v>
      </c>
      <c r="C153" s="464"/>
      <c r="D153" s="464"/>
      <c r="E153" s="464"/>
      <c r="F153" s="464"/>
      <c r="I153" s="445"/>
    </row>
    <row r="154" spans="2:9">
      <c r="B154" s="463" t="s">
        <v>390</v>
      </c>
      <c r="C154" s="464"/>
      <c r="D154" s="464"/>
      <c r="E154" s="464"/>
      <c r="F154" s="464"/>
      <c r="I154" s="445"/>
    </row>
    <row r="155" spans="2:9">
      <c r="B155" s="463" t="s">
        <v>145</v>
      </c>
      <c r="C155" s="464"/>
      <c r="D155" s="464"/>
      <c r="E155" s="464"/>
      <c r="F155" s="464"/>
      <c r="I155" s="445"/>
    </row>
    <row r="156" spans="2:9">
      <c r="B156" s="483" t="s">
        <v>391</v>
      </c>
      <c r="I156" s="445"/>
    </row>
    <row r="157" spans="2:9">
      <c r="B157" s="461"/>
      <c r="I157" s="445"/>
    </row>
    <row r="158" ht="24" customHeight="1" spans="2:9">
      <c r="B158" s="462" t="s">
        <v>392</v>
      </c>
      <c r="C158" s="460"/>
      <c r="D158" s="460"/>
      <c r="E158" s="460"/>
      <c r="F158" s="460"/>
      <c r="G158" s="460"/>
      <c r="H158" s="460"/>
      <c r="I158" s="449" t="s">
        <v>382</v>
      </c>
    </row>
    <row r="159" spans="2:9">
      <c r="B159" s="475" t="s">
        <v>301</v>
      </c>
      <c r="C159" s="464" t="s">
        <v>310</v>
      </c>
      <c r="D159" s="464"/>
      <c r="E159" s="464" t="s">
        <v>311</v>
      </c>
      <c r="F159" s="464"/>
      <c r="I159" s="445"/>
    </row>
    <row r="160" spans="2:9">
      <c r="B160" s="479"/>
      <c r="C160" s="464" t="s">
        <v>302</v>
      </c>
      <c r="D160" s="464" t="s">
        <v>303</v>
      </c>
      <c r="E160" s="464" t="s">
        <v>302</v>
      </c>
      <c r="F160" s="464" t="s">
        <v>303</v>
      </c>
      <c r="I160" s="445"/>
    </row>
    <row r="161" spans="2:9">
      <c r="B161" s="463" t="s">
        <v>393</v>
      </c>
      <c r="C161" s="464"/>
      <c r="D161" s="464"/>
      <c r="E161" s="464"/>
      <c r="F161" s="464"/>
      <c r="I161" s="445"/>
    </row>
    <row r="162" spans="2:9">
      <c r="B162" s="463" t="s">
        <v>394</v>
      </c>
      <c r="C162" s="464"/>
      <c r="D162" s="464"/>
      <c r="E162" s="464"/>
      <c r="F162" s="464"/>
      <c r="I162" s="445"/>
    </row>
    <row r="163" spans="2:9">
      <c r="B163" s="463" t="s">
        <v>395</v>
      </c>
      <c r="C163" s="464"/>
      <c r="D163" s="464"/>
      <c r="E163" s="464"/>
      <c r="F163" s="464"/>
      <c r="I163" s="445"/>
    </row>
    <row r="164" spans="2:9">
      <c r="B164" s="463" t="s">
        <v>396</v>
      </c>
      <c r="C164" s="464"/>
      <c r="D164" s="464"/>
      <c r="E164" s="464"/>
      <c r="F164" s="464"/>
      <c r="I164" s="445"/>
    </row>
    <row r="165" spans="2:9">
      <c r="B165" s="463" t="s">
        <v>397</v>
      </c>
      <c r="C165" s="464"/>
      <c r="D165" s="464"/>
      <c r="E165" s="464"/>
      <c r="F165" s="464"/>
      <c r="I165" s="445"/>
    </row>
    <row r="166" spans="2:9">
      <c r="B166" s="463" t="s">
        <v>398</v>
      </c>
      <c r="C166" s="464"/>
      <c r="D166" s="464"/>
      <c r="E166" s="464"/>
      <c r="F166" s="464"/>
      <c r="I166" s="445"/>
    </row>
    <row r="167" spans="2:9">
      <c r="B167" s="463" t="s">
        <v>145</v>
      </c>
      <c r="C167" s="464"/>
      <c r="D167" s="464"/>
      <c r="E167" s="464"/>
      <c r="F167" s="464"/>
      <c r="I167" s="445"/>
    </row>
    <row r="168" spans="2:9">
      <c r="B168" s="461" t="s">
        <v>399</v>
      </c>
      <c r="I168" s="445"/>
    </row>
    <row r="169" spans="2:9">
      <c r="B169" s="461"/>
      <c r="I169" s="445"/>
    </row>
    <row r="170" ht="36" customHeight="1" spans="2:9">
      <c r="B170" s="462" t="s">
        <v>400</v>
      </c>
      <c r="C170" s="460"/>
      <c r="D170" s="460"/>
      <c r="E170" s="460"/>
      <c r="F170" s="460"/>
      <c r="G170" s="460"/>
      <c r="H170" s="460"/>
      <c r="I170" s="445"/>
    </row>
    <row r="171" ht="12.75" customHeight="1" spans="2:9">
      <c r="B171" s="475" t="s">
        <v>301</v>
      </c>
      <c r="C171" s="464" t="s">
        <v>310</v>
      </c>
      <c r="D171" s="464"/>
      <c r="E171" s="464" t="s">
        <v>311</v>
      </c>
      <c r="F171" s="464"/>
      <c r="I171" s="445"/>
    </row>
    <row r="172" ht="12.75" customHeight="1" spans="2:9">
      <c r="B172" s="479"/>
      <c r="C172" s="464" t="s">
        <v>302</v>
      </c>
      <c r="D172" s="464" t="s">
        <v>303</v>
      </c>
      <c r="E172" s="464" t="s">
        <v>302</v>
      </c>
      <c r="F172" s="464" t="s">
        <v>303</v>
      </c>
      <c r="I172" s="445"/>
    </row>
    <row r="173" spans="2:9">
      <c r="B173" s="463" t="s">
        <v>401</v>
      </c>
      <c r="C173" s="464"/>
      <c r="D173" s="464"/>
      <c r="E173" s="464"/>
      <c r="F173" s="464"/>
      <c r="I173" s="445"/>
    </row>
    <row r="174" spans="2:9">
      <c r="B174" s="463" t="s">
        <v>402</v>
      </c>
      <c r="C174" s="464"/>
      <c r="D174" s="464"/>
      <c r="E174" s="464"/>
      <c r="F174" s="464"/>
      <c r="I174" s="445"/>
    </row>
    <row r="175" spans="2:9">
      <c r="B175" s="463" t="s">
        <v>403</v>
      </c>
      <c r="C175" s="464"/>
      <c r="D175" s="464"/>
      <c r="E175" s="464"/>
      <c r="F175" s="464"/>
      <c r="I175" s="445"/>
    </row>
    <row r="176" spans="2:9">
      <c r="B176" s="463" t="s">
        <v>145</v>
      </c>
      <c r="C176" s="464"/>
      <c r="D176" s="464"/>
      <c r="E176" s="464"/>
      <c r="F176" s="464"/>
      <c r="I176" s="445"/>
    </row>
    <row r="177" spans="2:9">
      <c r="B177" s="461"/>
      <c r="I177" s="445"/>
    </row>
    <row r="178" ht="54" customHeight="1" spans="2:9">
      <c r="B178" s="462" t="s">
        <v>404</v>
      </c>
      <c r="C178" s="460"/>
      <c r="D178" s="460"/>
      <c r="E178" s="460"/>
      <c r="F178" s="460"/>
      <c r="G178" s="460"/>
      <c r="H178" s="460"/>
      <c r="I178" s="449" t="s">
        <v>405</v>
      </c>
    </row>
    <row r="179" spans="2:9">
      <c r="B179" s="484" t="s">
        <v>301</v>
      </c>
      <c r="C179" s="464" t="s">
        <v>310</v>
      </c>
      <c r="D179" s="464"/>
      <c r="E179" s="464" t="s">
        <v>311</v>
      </c>
      <c r="F179" s="464"/>
      <c r="I179" s="445"/>
    </row>
    <row r="180" spans="2:9">
      <c r="B180" s="485"/>
      <c r="C180" s="464" t="s">
        <v>302</v>
      </c>
      <c r="D180" s="464" t="s">
        <v>303</v>
      </c>
      <c r="E180" s="464" t="s">
        <v>302</v>
      </c>
      <c r="F180" s="464" t="s">
        <v>303</v>
      </c>
      <c r="I180" s="445"/>
    </row>
    <row r="181" spans="2:9">
      <c r="B181" s="463" t="s">
        <v>406</v>
      </c>
      <c r="C181" s="464"/>
      <c r="D181" s="464"/>
      <c r="E181" s="464"/>
      <c r="F181" s="464"/>
      <c r="I181" s="445"/>
    </row>
    <row r="182" spans="2:9">
      <c r="B182" s="463" t="s">
        <v>372</v>
      </c>
      <c r="C182" s="464"/>
      <c r="D182" s="464"/>
      <c r="E182" s="464"/>
      <c r="F182" s="464"/>
      <c r="I182" s="445"/>
    </row>
    <row r="183" spans="2:9">
      <c r="B183" s="463" t="s">
        <v>145</v>
      </c>
      <c r="C183" s="464"/>
      <c r="D183" s="464"/>
      <c r="E183" s="464"/>
      <c r="F183" s="464"/>
      <c r="I183" s="445"/>
    </row>
    <row r="184" spans="2:9">
      <c r="B184" s="461"/>
      <c r="I184" s="445"/>
    </row>
    <row r="185" ht="45" customHeight="1" spans="2:9">
      <c r="B185" s="462" t="s">
        <v>407</v>
      </c>
      <c r="C185" s="460"/>
      <c r="D185" s="460"/>
      <c r="E185" s="460"/>
      <c r="F185" s="460"/>
      <c r="G185" s="460"/>
      <c r="H185" s="460"/>
      <c r="I185" s="445"/>
    </row>
    <row r="186" spans="2:9">
      <c r="B186" s="475" t="s">
        <v>301</v>
      </c>
      <c r="C186" s="464" t="s">
        <v>310</v>
      </c>
      <c r="D186" s="464"/>
      <c r="E186" s="464" t="s">
        <v>311</v>
      </c>
      <c r="F186" s="464"/>
      <c r="I186" s="445"/>
    </row>
    <row r="187" spans="2:9">
      <c r="B187" s="479"/>
      <c r="C187" s="464" t="s">
        <v>302</v>
      </c>
      <c r="D187" s="464" t="s">
        <v>303</v>
      </c>
      <c r="E187" s="464" t="s">
        <v>302</v>
      </c>
      <c r="F187" s="464" t="s">
        <v>303</v>
      </c>
      <c r="I187" s="445"/>
    </row>
    <row r="188" spans="2:9">
      <c r="B188" s="463"/>
      <c r="C188" s="464"/>
      <c r="D188" s="464"/>
      <c r="E188" s="464"/>
      <c r="F188" s="464"/>
      <c r="I188" s="445"/>
    </row>
    <row r="189" spans="2:9">
      <c r="B189" s="463" t="s">
        <v>145</v>
      </c>
      <c r="C189" s="464"/>
      <c r="D189" s="464"/>
      <c r="E189" s="464"/>
      <c r="F189" s="464"/>
      <c r="I189" s="445"/>
    </row>
    <row r="190" ht="12" customHeight="1" spans="2:9">
      <c r="B190" s="461"/>
      <c r="C190" s="486"/>
      <c r="D190" s="486"/>
      <c r="E190" s="486"/>
      <c r="F190" s="486"/>
      <c r="G190" s="486"/>
      <c r="H190" s="486"/>
      <c r="I190" s="445"/>
    </row>
    <row r="191" ht="12" customHeight="1" spans="2:9">
      <c r="B191" s="487" t="s">
        <v>408</v>
      </c>
      <c r="C191" s="488"/>
      <c r="D191" s="488"/>
      <c r="E191" s="488"/>
      <c r="F191" s="488"/>
      <c r="G191" s="488"/>
      <c r="H191" s="488"/>
      <c r="I191" s="445"/>
    </row>
    <row r="192" spans="2:9">
      <c r="B192" s="461"/>
      <c r="I192" s="445"/>
    </row>
    <row r="193" ht="48" customHeight="1" spans="2:9">
      <c r="B193" s="462" t="s">
        <v>409</v>
      </c>
      <c r="C193" s="460"/>
      <c r="D193" s="460"/>
      <c r="E193" s="460"/>
      <c r="F193" s="460"/>
      <c r="G193" s="460"/>
      <c r="H193" s="460"/>
      <c r="I193" s="445"/>
    </row>
    <row r="194" spans="2:9">
      <c r="B194" s="475" t="s">
        <v>301</v>
      </c>
      <c r="C194" s="464" t="s">
        <v>310</v>
      </c>
      <c r="D194" s="464"/>
      <c r="E194" s="464" t="s">
        <v>311</v>
      </c>
      <c r="F194" s="464"/>
      <c r="I194" s="445"/>
    </row>
    <row r="195" spans="2:9">
      <c r="B195" s="479"/>
      <c r="C195" s="464" t="s">
        <v>302</v>
      </c>
      <c r="D195" s="464" t="s">
        <v>303</v>
      </c>
      <c r="E195" s="464" t="s">
        <v>302</v>
      </c>
      <c r="F195" s="464" t="s">
        <v>303</v>
      </c>
      <c r="I195" s="445"/>
    </row>
    <row r="196" spans="2:9">
      <c r="B196" s="468" t="s">
        <v>410</v>
      </c>
      <c r="C196" s="464"/>
      <c r="D196" s="464"/>
      <c r="E196" s="464"/>
      <c r="F196" s="464"/>
      <c r="I196" s="445"/>
    </row>
    <row r="197" spans="2:9">
      <c r="B197" s="468" t="s">
        <v>372</v>
      </c>
      <c r="C197" s="464"/>
      <c r="D197" s="464"/>
      <c r="E197" s="464"/>
      <c r="F197" s="464"/>
      <c r="I197" s="445"/>
    </row>
    <row r="198" spans="2:9">
      <c r="B198" s="463" t="s">
        <v>145</v>
      </c>
      <c r="C198" s="464"/>
      <c r="D198" s="464"/>
      <c r="E198" s="464"/>
      <c r="F198" s="464"/>
      <c r="I198" s="445"/>
    </row>
    <row r="199" spans="2:9">
      <c r="B199" s="461"/>
      <c r="I199" s="445"/>
    </row>
    <row r="200" ht="48" customHeight="1" spans="2:9">
      <c r="B200" s="462" t="s">
        <v>411</v>
      </c>
      <c r="C200" s="460"/>
      <c r="D200" s="460"/>
      <c r="E200" s="460"/>
      <c r="F200" s="460"/>
      <c r="G200" s="460"/>
      <c r="H200" s="460"/>
      <c r="I200" s="445"/>
    </row>
    <row r="201" spans="2:9">
      <c r="B201" s="475" t="s">
        <v>301</v>
      </c>
      <c r="C201" s="464" t="s">
        <v>310</v>
      </c>
      <c r="D201" s="464"/>
      <c r="E201" s="464" t="s">
        <v>311</v>
      </c>
      <c r="F201" s="464"/>
      <c r="I201" s="445"/>
    </row>
    <row r="202" spans="2:9">
      <c r="B202" s="479"/>
      <c r="C202" s="464" t="s">
        <v>302</v>
      </c>
      <c r="D202" s="464" t="s">
        <v>303</v>
      </c>
      <c r="E202" s="464" t="s">
        <v>302</v>
      </c>
      <c r="F202" s="464" t="s">
        <v>303</v>
      </c>
      <c r="I202" s="445"/>
    </row>
    <row r="203" spans="2:9">
      <c r="B203" s="463"/>
      <c r="C203" s="464"/>
      <c r="D203" s="464"/>
      <c r="E203" s="464"/>
      <c r="F203" s="464"/>
      <c r="I203" s="445"/>
    </row>
    <row r="204" spans="2:9">
      <c r="B204" s="463" t="s">
        <v>145</v>
      </c>
      <c r="C204" s="464"/>
      <c r="D204" s="464"/>
      <c r="E204" s="464"/>
      <c r="F204" s="464"/>
      <c r="I204" s="445"/>
    </row>
    <row r="205" spans="2:9">
      <c r="B205" s="461"/>
      <c r="I205" s="445"/>
    </row>
    <row r="206" ht="102.75" customHeight="1" spans="2:9">
      <c r="B206" s="462" t="s">
        <v>412</v>
      </c>
      <c r="C206" s="460"/>
      <c r="D206" s="460"/>
      <c r="E206" s="460"/>
      <c r="F206" s="460"/>
      <c r="G206" s="460"/>
      <c r="H206" s="460"/>
      <c r="I206" s="449" t="s">
        <v>413</v>
      </c>
    </row>
    <row r="207" spans="2:9">
      <c r="B207" s="461" t="s">
        <v>414</v>
      </c>
      <c r="I207" s="445"/>
    </row>
    <row r="208" ht="34.2" spans="2:9">
      <c r="B208" s="468" t="s">
        <v>415</v>
      </c>
      <c r="C208" s="489" t="s">
        <v>416</v>
      </c>
      <c r="D208" s="489" t="s">
        <v>417</v>
      </c>
      <c r="E208" s="489" t="s">
        <v>418</v>
      </c>
      <c r="F208" s="489" t="s">
        <v>419</v>
      </c>
      <c r="I208" s="445"/>
    </row>
    <row r="209" spans="2:9">
      <c r="B209" s="468"/>
      <c r="C209" s="489"/>
      <c r="D209" s="489"/>
      <c r="E209" s="489"/>
      <c r="F209" s="489"/>
      <c r="I209" s="445"/>
    </row>
    <row r="210" spans="2:9">
      <c r="B210" s="461"/>
      <c r="I210" s="445"/>
    </row>
    <row r="211" ht="48" customHeight="1" spans="2:9">
      <c r="B211" s="462" t="s">
        <v>420</v>
      </c>
      <c r="C211" s="460"/>
      <c r="D211" s="460"/>
      <c r="E211" s="460"/>
      <c r="F211" s="460"/>
      <c r="G211" s="460"/>
      <c r="H211" s="460"/>
      <c r="I211" s="445"/>
    </row>
    <row r="212" spans="2:9">
      <c r="B212" s="481" t="s">
        <v>421</v>
      </c>
      <c r="C212" s="464" t="s">
        <v>422</v>
      </c>
      <c r="D212" s="464"/>
      <c r="E212" s="464" t="s">
        <v>423</v>
      </c>
      <c r="F212" s="464"/>
      <c r="I212" s="445"/>
    </row>
    <row r="213" spans="2:9">
      <c r="B213" s="481"/>
      <c r="C213" s="464" t="s">
        <v>302</v>
      </c>
      <c r="D213" s="464" t="s">
        <v>303</v>
      </c>
      <c r="E213" s="464" t="s">
        <v>302</v>
      </c>
      <c r="F213" s="464" t="s">
        <v>303</v>
      </c>
      <c r="I213" s="445"/>
    </row>
    <row r="214" spans="2:9">
      <c r="B214" s="463" t="s">
        <v>424</v>
      </c>
      <c r="C214" s="464"/>
      <c r="D214" s="464"/>
      <c r="E214" s="464"/>
      <c r="F214" s="464"/>
      <c r="I214" s="445"/>
    </row>
    <row r="215" spans="2:9">
      <c r="B215" s="463" t="s">
        <v>425</v>
      </c>
      <c r="C215" s="464"/>
      <c r="D215" s="464"/>
      <c r="E215" s="464"/>
      <c r="F215" s="464"/>
      <c r="I215" s="445"/>
    </row>
    <row r="216" spans="2:9">
      <c r="B216" s="463" t="s">
        <v>426</v>
      </c>
      <c r="C216" s="464"/>
      <c r="D216" s="464"/>
      <c r="E216" s="464"/>
      <c r="F216" s="464"/>
      <c r="I216" s="445"/>
    </row>
    <row r="217" spans="2:9">
      <c r="B217" s="461"/>
      <c r="I217" s="445"/>
    </row>
    <row r="218" spans="2:9">
      <c r="B218" s="463"/>
      <c r="C218" s="464" t="s">
        <v>302</v>
      </c>
      <c r="D218" s="464" t="s">
        <v>303</v>
      </c>
      <c r="I218" s="445"/>
    </row>
    <row r="219" spans="2:9">
      <c r="B219" s="463" t="s">
        <v>427</v>
      </c>
      <c r="C219" s="464"/>
      <c r="D219" s="464"/>
      <c r="I219" s="445"/>
    </row>
    <row r="220" spans="2:9">
      <c r="B220" s="463"/>
      <c r="C220" s="464"/>
      <c r="D220" s="464"/>
      <c r="I220" s="445"/>
    </row>
    <row r="221" spans="2:9">
      <c r="B221" s="461"/>
      <c r="I221" s="445"/>
    </row>
    <row r="222" spans="2:9">
      <c r="B222" s="461" t="s">
        <v>428</v>
      </c>
      <c r="I222" s="445"/>
    </row>
    <row r="223" spans="2:9">
      <c r="B223" s="463"/>
      <c r="C223" s="464" t="s">
        <v>302</v>
      </c>
      <c r="D223" s="464" t="s">
        <v>303</v>
      </c>
      <c r="I223" s="445"/>
    </row>
    <row r="224" spans="2:9">
      <c r="B224" s="463" t="s">
        <v>429</v>
      </c>
      <c r="C224" s="464"/>
      <c r="D224" s="464"/>
      <c r="I224" s="445"/>
    </row>
    <row r="225" spans="2:9">
      <c r="B225" s="463" t="s">
        <v>430</v>
      </c>
      <c r="C225" s="464"/>
      <c r="D225" s="464"/>
      <c r="I225" s="445"/>
    </row>
    <row r="226" spans="2:9">
      <c r="B226" s="463" t="s">
        <v>431</v>
      </c>
      <c r="C226" s="464"/>
      <c r="D226" s="464"/>
      <c r="I226" s="445"/>
    </row>
    <row r="227" spans="2:9">
      <c r="B227" s="463" t="s">
        <v>432</v>
      </c>
      <c r="C227" s="464"/>
      <c r="D227" s="464"/>
      <c r="I227" s="445"/>
    </row>
    <row r="228" spans="2:9">
      <c r="B228" s="461"/>
      <c r="I228" s="445"/>
    </row>
    <row r="229" spans="2:9">
      <c r="B229" s="461" t="s">
        <v>433</v>
      </c>
      <c r="I229" s="445"/>
    </row>
    <row r="230" spans="2:9">
      <c r="B230" s="463"/>
      <c r="C230" s="464" t="s">
        <v>302</v>
      </c>
      <c r="D230" s="464" t="s">
        <v>303</v>
      </c>
      <c r="I230" s="445"/>
    </row>
    <row r="231" spans="2:9">
      <c r="B231" s="463" t="s">
        <v>434</v>
      </c>
      <c r="C231" s="464"/>
      <c r="D231" s="464"/>
      <c r="I231" s="445"/>
    </row>
    <row r="232" spans="2:9">
      <c r="B232" s="463" t="s">
        <v>435</v>
      </c>
      <c r="C232" s="464"/>
      <c r="D232" s="464"/>
      <c r="I232" s="445"/>
    </row>
    <row r="233" spans="2:9">
      <c r="B233" s="463" t="s">
        <v>423</v>
      </c>
      <c r="C233" s="464"/>
      <c r="D233" s="464"/>
      <c r="I233" s="445"/>
    </row>
    <row r="234" spans="2:9">
      <c r="B234" s="463" t="s">
        <v>431</v>
      </c>
      <c r="C234" s="464"/>
      <c r="D234" s="464"/>
      <c r="I234" s="445"/>
    </row>
    <row r="235" spans="2:9">
      <c r="B235" s="463" t="s">
        <v>436</v>
      </c>
      <c r="C235" s="464"/>
      <c r="D235" s="464"/>
      <c r="I235" s="445"/>
    </row>
    <row r="236" spans="2:9">
      <c r="B236" s="463" t="s">
        <v>437</v>
      </c>
      <c r="C236" s="464"/>
      <c r="D236" s="464"/>
      <c r="I236" s="445"/>
    </row>
    <row r="237" spans="2:9">
      <c r="B237" s="463" t="s">
        <v>438</v>
      </c>
      <c r="C237" s="464"/>
      <c r="D237" s="464"/>
      <c r="I237" s="445"/>
    </row>
    <row r="238" spans="2:9">
      <c r="B238" s="463" t="s">
        <v>439</v>
      </c>
      <c r="C238" s="464"/>
      <c r="D238" s="464"/>
      <c r="I238" s="445"/>
    </row>
    <row r="239" spans="2:9">
      <c r="B239" s="461"/>
      <c r="I239" s="445"/>
    </row>
    <row r="240" ht="81.75" customHeight="1" spans="2:9">
      <c r="B240" s="459" t="s">
        <v>440</v>
      </c>
      <c r="C240" s="460"/>
      <c r="D240" s="460"/>
      <c r="E240" s="460"/>
      <c r="F240" s="460"/>
      <c r="G240" s="460"/>
      <c r="H240" s="460"/>
      <c r="I240" s="445"/>
    </row>
    <row r="241" spans="2:9">
      <c r="B241" s="463"/>
      <c r="C241" s="464" t="s">
        <v>302</v>
      </c>
      <c r="D241" s="464" t="s">
        <v>303</v>
      </c>
      <c r="I241" s="445"/>
    </row>
    <row r="242" spans="2:9">
      <c r="B242" s="463" t="s">
        <v>441</v>
      </c>
      <c r="C242" s="464"/>
      <c r="D242" s="464"/>
      <c r="I242" s="445"/>
    </row>
    <row r="243" spans="2:9">
      <c r="B243" s="463" t="s">
        <v>442</v>
      </c>
      <c r="C243" s="464"/>
      <c r="D243" s="464"/>
      <c r="I243" s="445"/>
    </row>
    <row r="244" spans="2:9">
      <c r="B244" s="463" t="s">
        <v>443</v>
      </c>
      <c r="C244" s="464"/>
      <c r="D244" s="464"/>
      <c r="I244" s="445"/>
    </row>
    <row r="245" spans="2:9">
      <c r="B245" s="461"/>
      <c r="I245" s="445"/>
    </row>
    <row r="246" ht="12" spans="2:9">
      <c r="B246" s="490" t="s">
        <v>444</v>
      </c>
      <c r="C246" s="491"/>
      <c r="D246" s="491"/>
      <c r="E246" s="491"/>
      <c r="F246" s="491"/>
      <c r="G246" s="491"/>
      <c r="H246" s="491"/>
      <c r="I246" s="445"/>
    </row>
    <row r="247" spans="2:9">
      <c r="B247" s="463" t="s">
        <v>445</v>
      </c>
      <c r="C247" s="464" t="s">
        <v>446</v>
      </c>
      <c r="D247" s="464" t="s">
        <v>447</v>
      </c>
      <c r="I247" s="445"/>
    </row>
    <row r="248" spans="2:9">
      <c r="B248" s="463"/>
      <c r="C248" s="464"/>
      <c r="D248" s="464"/>
      <c r="I248" s="445"/>
    </row>
    <row r="249" spans="2:9">
      <c r="B249" s="461"/>
      <c r="I249" s="445"/>
    </row>
    <row r="250" ht="12" spans="2:9">
      <c r="B250" s="490" t="s">
        <v>448</v>
      </c>
      <c r="C250" s="491"/>
      <c r="D250" s="491"/>
      <c r="E250" s="491"/>
      <c r="F250" s="491"/>
      <c r="G250" s="491"/>
      <c r="H250" s="491"/>
      <c r="I250" s="445"/>
    </row>
    <row r="251" spans="2:9">
      <c r="B251" s="492" t="s">
        <v>449</v>
      </c>
      <c r="C251" s="493" t="s">
        <v>450</v>
      </c>
      <c r="D251" s="493" t="s">
        <v>451</v>
      </c>
      <c r="E251" s="466" t="s">
        <v>452</v>
      </c>
      <c r="F251" s="494"/>
      <c r="G251" s="467"/>
      <c r="I251" s="445"/>
    </row>
    <row r="252" ht="22.8" spans="2:9">
      <c r="B252" s="495"/>
      <c r="C252" s="496"/>
      <c r="D252" s="496"/>
      <c r="E252" s="489" t="s">
        <v>446</v>
      </c>
      <c r="F252" s="489" t="s">
        <v>453</v>
      </c>
      <c r="G252" s="489" t="s">
        <v>454</v>
      </c>
      <c r="I252" s="445"/>
    </row>
    <row r="253" spans="2:9">
      <c r="B253" s="463"/>
      <c r="C253" s="464"/>
      <c r="D253" s="464"/>
      <c r="E253" s="464"/>
      <c r="F253" s="464"/>
      <c r="G253" s="464"/>
      <c r="I253" s="445"/>
    </row>
    <row r="254" spans="2:9">
      <c r="B254" s="461"/>
      <c r="I254" s="445"/>
    </row>
    <row r="255" ht="12" spans="2:9">
      <c r="B255" s="497" t="s">
        <v>455</v>
      </c>
      <c r="I255" s="445"/>
    </row>
    <row r="256" ht="48" customHeight="1" spans="2:9">
      <c r="B256" s="462" t="s">
        <v>456</v>
      </c>
      <c r="C256" s="460"/>
      <c r="D256" s="460"/>
      <c r="E256" s="460"/>
      <c r="F256" s="460"/>
      <c r="G256" s="460"/>
      <c r="H256" s="460"/>
      <c r="I256" s="445"/>
    </row>
    <row r="257" spans="2:9">
      <c r="B257" s="463" t="s">
        <v>301</v>
      </c>
      <c r="C257" s="464" t="s">
        <v>302</v>
      </c>
      <c r="D257" s="464" t="s">
        <v>303</v>
      </c>
      <c r="I257" s="445"/>
    </row>
    <row r="258" spans="2:9">
      <c r="B258" s="463" t="s">
        <v>457</v>
      </c>
      <c r="C258" s="464"/>
      <c r="D258" s="464"/>
      <c r="I258" s="445"/>
    </row>
    <row r="259" spans="2:9">
      <c r="B259" s="463" t="s">
        <v>458</v>
      </c>
      <c r="C259" s="464"/>
      <c r="D259" s="464"/>
      <c r="I259" s="445"/>
    </row>
    <row r="260" spans="2:9">
      <c r="B260" s="463" t="s">
        <v>459</v>
      </c>
      <c r="C260" s="464"/>
      <c r="D260" s="464"/>
      <c r="I260" s="445"/>
    </row>
    <row r="261" spans="2:9">
      <c r="B261" s="463" t="s">
        <v>372</v>
      </c>
      <c r="C261" s="464"/>
      <c r="D261" s="464"/>
      <c r="I261" s="445"/>
    </row>
    <row r="262" spans="2:9">
      <c r="B262" s="463" t="s">
        <v>145</v>
      </c>
      <c r="C262" s="464"/>
      <c r="D262" s="464"/>
      <c r="I262" s="445"/>
    </row>
    <row r="263" spans="2:9">
      <c r="B263" s="461"/>
      <c r="I263" s="445"/>
    </row>
    <row r="264" ht="12" spans="2:9">
      <c r="B264" s="490" t="s">
        <v>460</v>
      </c>
      <c r="C264" s="498"/>
      <c r="D264" s="498"/>
      <c r="E264" s="498"/>
      <c r="F264" s="498"/>
      <c r="G264" s="498"/>
      <c r="H264" s="498"/>
      <c r="I264" s="445"/>
    </row>
    <row r="265" spans="2:9">
      <c r="B265" s="461"/>
      <c r="I265" s="445"/>
    </row>
    <row r="266" ht="46.5" customHeight="1" spans="2:9">
      <c r="B266" s="462" t="s">
        <v>461</v>
      </c>
      <c r="C266" s="460"/>
      <c r="D266" s="460"/>
      <c r="E266" s="460"/>
      <c r="F266" s="460"/>
      <c r="G266" s="460"/>
      <c r="H266" s="460"/>
      <c r="I266" s="445" t="s">
        <v>462</v>
      </c>
    </row>
    <row r="267" spans="2:9">
      <c r="B267" s="463" t="s">
        <v>301</v>
      </c>
      <c r="C267" s="464" t="s">
        <v>302</v>
      </c>
      <c r="D267" s="464" t="s">
        <v>303</v>
      </c>
      <c r="I267" s="445"/>
    </row>
    <row r="268" spans="2:9">
      <c r="B268" s="463" t="s">
        <v>463</v>
      </c>
      <c r="C268" s="464"/>
      <c r="D268" s="464"/>
      <c r="I268" s="445"/>
    </row>
    <row r="269" spans="2:9">
      <c r="B269" s="463" t="s">
        <v>458</v>
      </c>
      <c r="C269" s="464"/>
      <c r="D269" s="464"/>
      <c r="I269" s="445"/>
    </row>
    <row r="270" spans="2:9">
      <c r="B270" s="463" t="s">
        <v>459</v>
      </c>
      <c r="C270" s="464"/>
      <c r="D270" s="464"/>
      <c r="I270" s="445"/>
    </row>
    <row r="271" spans="2:9">
      <c r="B271" s="463" t="s">
        <v>319</v>
      </c>
      <c r="C271" s="464"/>
      <c r="D271" s="464"/>
      <c r="I271" s="445"/>
    </row>
    <row r="272" spans="2:9">
      <c r="B272" s="463" t="s">
        <v>145</v>
      </c>
      <c r="C272" s="464"/>
      <c r="D272" s="464"/>
      <c r="I272" s="445"/>
    </row>
    <row r="273" spans="2:9">
      <c r="B273" s="461"/>
      <c r="I273" s="445"/>
    </row>
    <row r="274" ht="23.4" spans="2:9">
      <c r="B274" s="482" t="s">
        <v>464</v>
      </c>
      <c r="I274" s="445"/>
    </row>
    <row r="275" spans="2:9">
      <c r="B275" s="463" t="s">
        <v>301</v>
      </c>
      <c r="C275" s="464" t="s">
        <v>302</v>
      </c>
      <c r="D275" s="464" t="s">
        <v>303</v>
      </c>
      <c r="I275" s="445"/>
    </row>
    <row r="276" spans="2:9">
      <c r="B276" s="463" t="s">
        <v>465</v>
      </c>
      <c r="C276" s="464"/>
      <c r="D276" s="464"/>
      <c r="I276" s="445"/>
    </row>
    <row r="277" spans="2:9">
      <c r="B277" s="463" t="s">
        <v>466</v>
      </c>
      <c r="C277" s="464"/>
      <c r="D277" s="464"/>
      <c r="I277" s="445"/>
    </row>
    <row r="278" spans="2:9">
      <c r="B278" s="463" t="s">
        <v>467</v>
      </c>
      <c r="C278" s="464"/>
      <c r="D278" s="464"/>
      <c r="I278" s="445"/>
    </row>
    <row r="279" spans="2:9">
      <c r="B279" s="463" t="s">
        <v>468</v>
      </c>
      <c r="C279" s="464"/>
      <c r="D279" s="464"/>
      <c r="I279" s="445"/>
    </row>
    <row r="280" spans="2:9">
      <c r="B280" s="461"/>
      <c r="I280" s="445"/>
    </row>
    <row r="281" ht="30.75" customHeight="1" spans="2:9">
      <c r="B281" s="499" t="s">
        <v>469</v>
      </c>
      <c r="C281" s="500"/>
      <c r="D281" s="500"/>
      <c r="E281" s="500"/>
      <c r="F281" s="500"/>
      <c r="G281" s="500"/>
      <c r="H281" s="500"/>
      <c r="I281" s="449" t="s">
        <v>470</v>
      </c>
    </row>
    <row r="282" spans="2:9">
      <c r="B282" s="463"/>
      <c r="C282" s="466" t="s">
        <v>471</v>
      </c>
      <c r="D282" s="494"/>
      <c r="E282" s="494"/>
      <c r="F282" s="494"/>
      <c r="G282" s="494"/>
      <c r="H282" s="467"/>
      <c r="I282" s="445"/>
    </row>
    <row r="283" spans="2:9">
      <c r="B283" s="463"/>
      <c r="C283" s="464" t="s">
        <v>472</v>
      </c>
      <c r="D283" s="464" t="s">
        <v>473</v>
      </c>
      <c r="E283" s="464" t="s">
        <v>319</v>
      </c>
      <c r="F283" s="464" t="s">
        <v>474</v>
      </c>
      <c r="G283" s="464" t="s">
        <v>475</v>
      </c>
      <c r="H283" s="464" t="s">
        <v>476</v>
      </c>
      <c r="I283" s="445"/>
    </row>
    <row r="284" spans="2:9">
      <c r="B284" s="463" t="s">
        <v>477</v>
      </c>
      <c r="C284" s="464"/>
      <c r="D284" s="464"/>
      <c r="E284" s="464"/>
      <c r="F284" s="464"/>
      <c r="G284" s="464"/>
      <c r="H284" s="464"/>
      <c r="I284" s="445"/>
    </row>
    <row r="285" spans="2:9">
      <c r="B285" s="463" t="s">
        <v>478</v>
      </c>
      <c r="C285" s="464"/>
      <c r="D285" s="464"/>
      <c r="E285" s="464"/>
      <c r="F285" s="464"/>
      <c r="G285" s="464"/>
      <c r="H285" s="464"/>
      <c r="I285" s="445"/>
    </row>
    <row r="286" spans="2:9">
      <c r="B286" s="463" t="s">
        <v>479</v>
      </c>
      <c r="C286" s="464"/>
      <c r="D286" s="464"/>
      <c r="E286" s="464"/>
      <c r="F286" s="464"/>
      <c r="G286" s="464"/>
      <c r="H286" s="464"/>
      <c r="I286" s="445"/>
    </row>
    <row r="287" spans="2:9">
      <c r="B287" s="463" t="s">
        <v>73</v>
      </c>
      <c r="C287" s="464"/>
      <c r="D287" s="464"/>
      <c r="E287" s="464"/>
      <c r="F287" s="464"/>
      <c r="G287" s="464"/>
      <c r="H287" s="464"/>
      <c r="I287" s="445"/>
    </row>
    <row r="288" spans="2:9">
      <c r="B288" s="463" t="s">
        <v>94</v>
      </c>
      <c r="C288" s="464"/>
      <c r="D288" s="464"/>
      <c r="E288" s="464"/>
      <c r="F288" s="464"/>
      <c r="G288" s="464"/>
      <c r="H288" s="464"/>
      <c r="I288" s="445"/>
    </row>
    <row r="289" spans="2:9">
      <c r="B289" s="463" t="s">
        <v>319</v>
      </c>
      <c r="C289" s="464"/>
      <c r="D289" s="464"/>
      <c r="E289" s="464"/>
      <c r="F289" s="464"/>
      <c r="G289" s="464"/>
      <c r="H289" s="464"/>
      <c r="I289" s="445"/>
    </row>
    <row r="290" spans="2:9">
      <c r="B290" s="463" t="s">
        <v>480</v>
      </c>
      <c r="C290" s="464"/>
      <c r="D290" s="464"/>
      <c r="E290" s="464"/>
      <c r="F290" s="464"/>
      <c r="G290" s="464"/>
      <c r="H290" s="464"/>
      <c r="I290" s="445"/>
    </row>
    <row r="291" spans="2:9">
      <c r="B291" s="463" t="s">
        <v>481</v>
      </c>
      <c r="C291" s="464"/>
      <c r="D291" s="464"/>
      <c r="E291" s="464"/>
      <c r="F291" s="464"/>
      <c r="G291" s="464"/>
      <c r="H291" s="464"/>
      <c r="I291" s="445"/>
    </row>
    <row r="292" spans="2:9">
      <c r="B292" s="463"/>
      <c r="C292" s="466" t="s">
        <v>482</v>
      </c>
      <c r="D292" s="494"/>
      <c r="E292" s="494"/>
      <c r="F292" s="494"/>
      <c r="G292" s="494"/>
      <c r="H292" s="467"/>
      <c r="I292" s="445"/>
    </row>
    <row r="293" spans="2:9">
      <c r="B293" s="463"/>
      <c r="C293" s="464" t="s">
        <v>472</v>
      </c>
      <c r="D293" s="464" t="s">
        <v>483</v>
      </c>
      <c r="E293" s="464" t="s">
        <v>319</v>
      </c>
      <c r="F293" s="464" t="s">
        <v>474</v>
      </c>
      <c r="G293" s="464" t="s">
        <v>475</v>
      </c>
      <c r="H293" s="464" t="s">
        <v>476</v>
      </c>
      <c r="I293" s="445"/>
    </row>
    <row r="294" spans="2:9">
      <c r="B294" s="501" t="s">
        <v>43</v>
      </c>
      <c r="C294" s="464"/>
      <c r="D294" s="464"/>
      <c r="E294" s="464"/>
      <c r="F294" s="464"/>
      <c r="G294" s="464"/>
      <c r="H294" s="464"/>
      <c r="I294" s="445"/>
    </row>
    <row r="295" spans="2:9">
      <c r="B295" s="463" t="s">
        <v>484</v>
      </c>
      <c r="C295" s="464"/>
      <c r="D295" s="464"/>
      <c r="E295" s="464"/>
      <c r="F295" s="464"/>
      <c r="G295" s="464"/>
      <c r="H295" s="464"/>
      <c r="I295" s="445"/>
    </row>
    <row r="296" spans="2:9">
      <c r="B296" s="463" t="s">
        <v>51</v>
      </c>
      <c r="C296" s="464"/>
      <c r="D296" s="464"/>
      <c r="E296" s="464"/>
      <c r="F296" s="464"/>
      <c r="G296" s="464"/>
      <c r="H296" s="464"/>
      <c r="I296" s="445"/>
    </row>
    <row r="297" spans="2:9">
      <c r="B297" s="463" t="s">
        <v>485</v>
      </c>
      <c r="C297" s="464"/>
      <c r="D297" s="464"/>
      <c r="E297" s="464"/>
      <c r="F297" s="464"/>
      <c r="G297" s="464"/>
      <c r="H297" s="464"/>
      <c r="I297" s="445"/>
    </row>
    <row r="298" spans="2:9">
      <c r="B298" s="463" t="s">
        <v>67</v>
      </c>
      <c r="C298" s="464"/>
      <c r="D298" s="464"/>
      <c r="E298" s="464"/>
      <c r="F298" s="464"/>
      <c r="G298" s="464"/>
      <c r="H298" s="464"/>
      <c r="I298" s="445"/>
    </row>
    <row r="299" spans="2:9">
      <c r="B299" s="463" t="s">
        <v>480</v>
      </c>
      <c r="C299" s="464"/>
      <c r="D299" s="464"/>
      <c r="E299" s="464"/>
      <c r="F299" s="464"/>
      <c r="G299" s="464"/>
      <c r="H299" s="464"/>
      <c r="I299" s="445"/>
    </row>
    <row r="300" spans="2:9">
      <c r="B300" s="463" t="s">
        <v>481</v>
      </c>
      <c r="C300" s="464"/>
      <c r="D300" s="464"/>
      <c r="E300" s="464"/>
      <c r="F300" s="464"/>
      <c r="G300" s="464"/>
      <c r="H300" s="464"/>
      <c r="I300" s="445"/>
    </row>
    <row r="301" spans="2:9">
      <c r="B301" s="461"/>
      <c r="I301" s="445"/>
    </row>
    <row r="302" ht="84.75" customHeight="1" spans="2:9">
      <c r="B302" s="462" t="s">
        <v>486</v>
      </c>
      <c r="C302" s="460"/>
      <c r="D302" s="460"/>
      <c r="E302" s="460"/>
      <c r="F302" s="460"/>
      <c r="G302" s="460"/>
      <c r="H302" s="460"/>
      <c r="I302" s="449" t="s">
        <v>487</v>
      </c>
    </row>
    <row r="303" ht="34.2" spans="2:9">
      <c r="B303" s="502"/>
      <c r="C303" s="503" t="s">
        <v>488</v>
      </c>
      <c r="D303" s="503" t="s">
        <v>489</v>
      </c>
      <c r="E303" s="464" t="s">
        <v>475</v>
      </c>
      <c r="F303" s="464" t="s">
        <v>476</v>
      </c>
      <c r="G303" s="504"/>
      <c r="I303" s="445"/>
    </row>
    <row r="304" spans="2:9">
      <c r="B304" s="463" t="s">
        <v>478</v>
      </c>
      <c r="C304" s="464"/>
      <c r="D304" s="464"/>
      <c r="E304" s="464"/>
      <c r="F304" s="464"/>
      <c r="I304" s="445"/>
    </row>
    <row r="305" spans="2:9">
      <c r="B305" s="463" t="s">
        <v>479</v>
      </c>
      <c r="C305" s="464"/>
      <c r="D305" s="464"/>
      <c r="E305" s="464"/>
      <c r="F305" s="464"/>
      <c r="I305" s="445"/>
    </row>
    <row r="306" spans="2:9">
      <c r="B306" s="463" t="s">
        <v>73</v>
      </c>
      <c r="C306" s="464"/>
      <c r="D306" s="464"/>
      <c r="E306" s="464"/>
      <c r="F306" s="464"/>
      <c r="I306" s="445"/>
    </row>
    <row r="307" spans="2:9">
      <c r="B307" s="463" t="s">
        <v>88</v>
      </c>
      <c r="C307" s="464"/>
      <c r="D307" s="464"/>
      <c r="E307" s="464"/>
      <c r="F307" s="464"/>
      <c r="I307" s="445"/>
    </row>
    <row r="308" spans="2:9">
      <c r="B308" s="463" t="s">
        <v>96</v>
      </c>
      <c r="C308" s="464"/>
      <c r="D308" s="464"/>
      <c r="E308" s="464"/>
      <c r="F308" s="464"/>
      <c r="I308" s="445"/>
    </row>
    <row r="309" spans="2:9">
      <c r="B309" s="463" t="s">
        <v>319</v>
      </c>
      <c r="C309" s="464"/>
      <c r="D309" s="464"/>
      <c r="E309" s="464"/>
      <c r="F309" s="464"/>
      <c r="I309" s="445"/>
    </row>
    <row r="310" spans="2:9">
      <c r="B310" s="463" t="s">
        <v>490</v>
      </c>
      <c r="C310" s="464"/>
      <c r="D310" s="464"/>
      <c r="E310" s="464"/>
      <c r="F310" s="464"/>
      <c r="I310" s="445"/>
    </row>
    <row r="311" spans="2:9">
      <c r="B311" s="463" t="s">
        <v>491</v>
      </c>
      <c r="C311" s="464"/>
      <c r="D311" s="464"/>
      <c r="E311" s="464"/>
      <c r="F311" s="464"/>
      <c r="I311" s="445"/>
    </row>
    <row r="312" spans="2:9">
      <c r="B312" s="856" t="s">
        <v>492</v>
      </c>
      <c r="I312" s="445"/>
    </row>
    <row r="313" spans="2:9">
      <c r="B313" s="461"/>
      <c r="I313" s="445"/>
    </row>
    <row r="314" ht="56.25" customHeight="1" spans="2:9">
      <c r="B314" s="505" t="s">
        <v>493</v>
      </c>
      <c r="C314" s="506"/>
      <c r="D314" s="506"/>
      <c r="E314" s="506"/>
      <c r="F314" s="506"/>
      <c r="G314" s="506"/>
      <c r="H314" s="506"/>
      <c r="I314" s="445"/>
    </row>
    <row r="315" spans="2:9">
      <c r="B315" s="481"/>
      <c r="C315" s="465"/>
      <c r="D315" s="465"/>
      <c r="E315" s="464" t="s">
        <v>302</v>
      </c>
      <c r="F315" s="464" t="s">
        <v>303</v>
      </c>
      <c r="I315" s="445"/>
    </row>
    <row r="316" ht="24" customHeight="1" spans="2:9">
      <c r="B316" s="507" t="s">
        <v>494</v>
      </c>
      <c r="C316" s="508"/>
      <c r="D316" s="508"/>
      <c r="E316" s="464"/>
      <c r="F316" s="464"/>
      <c r="I316" s="445"/>
    </row>
    <row r="317" ht="24" customHeight="1" spans="2:9">
      <c r="B317" s="507" t="s">
        <v>495</v>
      </c>
      <c r="C317" s="508"/>
      <c r="D317" s="508"/>
      <c r="E317" s="464"/>
      <c r="F317" s="464"/>
      <c r="I317" s="445"/>
    </row>
    <row r="318" ht="48" customHeight="1" spans="2:9">
      <c r="B318" s="507" t="s">
        <v>496</v>
      </c>
      <c r="C318" s="508"/>
      <c r="D318" s="508"/>
      <c r="E318" s="464"/>
      <c r="F318" s="464"/>
      <c r="I318" s="445"/>
    </row>
    <row r="319" ht="48" customHeight="1" spans="2:9">
      <c r="B319" s="507" t="s">
        <v>497</v>
      </c>
      <c r="C319" s="508"/>
      <c r="D319" s="508"/>
      <c r="E319" s="464"/>
      <c r="F319" s="464"/>
      <c r="I319" s="445"/>
    </row>
    <row r="320" ht="48" customHeight="1" spans="2:9">
      <c r="B320" s="507" t="s">
        <v>498</v>
      </c>
      <c r="C320" s="508"/>
      <c r="D320" s="508"/>
      <c r="E320" s="464"/>
      <c r="F320" s="464"/>
      <c r="I320" s="445"/>
    </row>
    <row r="321" ht="48" customHeight="1" spans="2:9">
      <c r="B321" s="507" t="s">
        <v>499</v>
      </c>
      <c r="C321" s="508"/>
      <c r="D321" s="508"/>
      <c r="E321" s="464"/>
      <c r="F321" s="464"/>
      <c r="I321" s="445"/>
    </row>
    <row r="322" spans="2:9">
      <c r="B322" s="461"/>
      <c r="I322" s="445"/>
    </row>
    <row r="323" ht="32.25" customHeight="1" spans="2:9">
      <c r="B323" s="857" t="s">
        <v>500</v>
      </c>
      <c r="C323" s="460"/>
      <c r="D323" s="460"/>
      <c r="E323" s="460"/>
      <c r="F323" s="460"/>
      <c r="G323" s="460"/>
      <c r="H323" s="460"/>
      <c r="I323" s="445"/>
    </row>
    <row r="324" spans="2:9">
      <c r="B324" s="461"/>
      <c r="I324" s="445"/>
    </row>
    <row r="325" ht="12" spans="2:9">
      <c r="B325" s="497" t="s">
        <v>501</v>
      </c>
      <c r="I325" s="445"/>
    </row>
    <row r="326" ht="58.5" customHeight="1" spans="2:9">
      <c r="B326" s="857" t="s">
        <v>502</v>
      </c>
      <c r="C326" s="460"/>
      <c r="D326" s="460"/>
      <c r="E326" s="460"/>
      <c r="F326" s="460"/>
      <c r="G326" s="460"/>
      <c r="H326" s="460"/>
      <c r="I326" s="509" t="s">
        <v>503</v>
      </c>
    </row>
    <row r="327" spans="2:9">
      <c r="B327" s="461"/>
      <c r="I327" s="445"/>
    </row>
    <row r="328" ht="12" spans="2:9">
      <c r="B328" s="510" t="s">
        <v>504</v>
      </c>
      <c r="I328" s="445"/>
    </row>
    <row r="329" spans="2:9">
      <c r="B329" s="858" t="s">
        <v>505</v>
      </c>
      <c r="C329" s="491"/>
      <c r="D329" s="491"/>
      <c r="E329" s="491"/>
      <c r="F329" s="491"/>
      <c r="G329" s="491"/>
      <c r="H329" s="491"/>
      <c r="I329" s="445" t="s">
        <v>506</v>
      </c>
    </row>
    <row r="330" spans="2:9">
      <c r="B330" s="463"/>
      <c r="C330" s="464" t="s">
        <v>302</v>
      </c>
      <c r="D330" s="464" t="s">
        <v>303</v>
      </c>
      <c r="I330" s="445"/>
    </row>
    <row r="331" spans="2:9">
      <c r="B331" s="463" t="s">
        <v>507</v>
      </c>
      <c r="C331" s="464"/>
      <c r="D331" s="464"/>
      <c r="I331" s="445"/>
    </row>
    <row r="332" spans="2:9">
      <c r="B332" s="463" t="s">
        <v>477</v>
      </c>
      <c r="C332" s="464"/>
      <c r="D332" s="464"/>
      <c r="I332" s="445"/>
    </row>
    <row r="333" spans="2:9">
      <c r="B333" s="463" t="s">
        <v>478</v>
      </c>
      <c r="C333" s="464"/>
      <c r="D333" s="464"/>
      <c r="I333" s="445"/>
    </row>
    <row r="334" spans="2:9">
      <c r="B334" s="463" t="s">
        <v>508</v>
      </c>
      <c r="C334" s="464"/>
      <c r="D334" s="464"/>
      <c r="I334" s="445"/>
    </row>
    <row r="335" spans="2:9">
      <c r="B335" s="463" t="s">
        <v>509</v>
      </c>
      <c r="C335" s="464"/>
      <c r="D335" s="464"/>
      <c r="I335" s="445"/>
    </row>
    <row r="336" spans="2:9">
      <c r="B336" s="461"/>
      <c r="I336" s="445"/>
    </row>
    <row r="337" spans="2:9">
      <c r="B337" s="856" t="s">
        <v>510</v>
      </c>
      <c r="I337" s="445"/>
    </row>
    <row r="338" spans="2:9">
      <c r="B338" s="463"/>
      <c r="C338" s="464" t="s">
        <v>302</v>
      </c>
      <c r="D338" s="464" t="s">
        <v>303</v>
      </c>
      <c r="I338" s="445"/>
    </row>
    <row r="339" spans="2:9">
      <c r="B339" s="463" t="s">
        <v>472</v>
      </c>
      <c r="C339" s="464"/>
      <c r="D339" s="464"/>
      <c r="I339" s="445"/>
    </row>
    <row r="340" spans="2:9">
      <c r="B340" s="463" t="s">
        <v>511</v>
      </c>
      <c r="C340" s="464"/>
      <c r="D340" s="464"/>
      <c r="I340" s="445"/>
    </row>
    <row r="341" spans="2:9">
      <c r="B341" s="463" t="s">
        <v>474</v>
      </c>
      <c r="C341" s="464"/>
      <c r="D341" s="464"/>
      <c r="I341" s="445"/>
    </row>
    <row r="342" spans="2:9">
      <c r="B342" s="463" t="s">
        <v>145</v>
      </c>
      <c r="C342" s="464"/>
      <c r="D342" s="464"/>
      <c r="I342" s="445"/>
    </row>
    <row r="343" spans="2:9">
      <c r="B343" s="856" t="s">
        <v>512</v>
      </c>
      <c r="I343" s="445"/>
    </row>
    <row r="344" spans="2:9">
      <c r="B344" s="463"/>
      <c r="C344" s="464" t="s">
        <v>302</v>
      </c>
      <c r="D344" s="464" t="s">
        <v>303</v>
      </c>
      <c r="I344" s="445"/>
    </row>
    <row r="345" spans="2:9">
      <c r="B345" s="463" t="s">
        <v>513</v>
      </c>
      <c r="C345" s="464"/>
      <c r="D345" s="464"/>
      <c r="I345" s="445"/>
    </row>
    <row r="346" spans="2:9">
      <c r="B346" s="463" t="s">
        <v>514</v>
      </c>
      <c r="C346" s="464"/>
      <c r="D346" s="464"/>
      <c r="I346" s="445"/>
    </row>
    <row r="347" spans="2:9">
      <c r="B347" s="463" t="s">
        <v>515</v>
      </c>
      <c r="C347" s="464"/>
      <c r="D347" s="464"/>
      <c r="I347" s="445"/>
    </row>
    <row r="348" spans="2:9">
      <c r="B348" s="463" t="s">
        <v>516</v>
      </c>
      <c r="C348" s="464"/>
      <c r="D348" s="464"/>
      <c r="I348" s="445"/>
    </row>
    <row r="349" spans="2:9">
      <c r="B349" s="461"/>
      <c r="I349" s="445"/>
    </row>
    <row r="350" ht="22.8" spans="2:9">
      <c r="B350" s="450" t="s">
        <v>517</v>
      </c>
      <c r="I350" s="449" t="s">
        <v>518</v>
      </c>
    </row>
    <row r="351" spans="2:9">
      <c r="B351" s="856" t="s">
        <v>519</v>
      </c>
      <c r="I351" s="445"/>
    </row>
    <row r="352" spans="2:9">
      <c r="B352" s="463" t="s">
        <v>520</v>
      </c>
      <c r="C352" s="464" t="s">
        <v>521</v>
      </c>
      <c r="I352" s="445"/>
    </row>
    <row r="353" spans="2:9">
      <c r="B353" s="463"/>
      <c r="C353" s="464"/>
      <c r="I353" s="445"/>
    </row>
    <row r="354" spans="2:9">
      <c r="B354" s="461"/>
      <c r="I354" s="445"/>
    </row>
    <row r="355" spans="2:9">
      <c r="B355" s="461" t="s">
        <v>522</v>
      </c>
      <c r="I355" s="445"/>
    </row>
    <row r="356" spans="2:9">
      <c r="B356" s="461"/>
      <c r="I356" s="445"/>
    </row>
    <row r="357" ht="12" spans="2:9">
      <c r="B357" s="510" t="s">
        <v>523</v>
      </c>
      <c r="I357" s="445"/>
    </row>
    <row r="358" ht="68.25" customHeight="1" spans="2:9">
      <c r="B358" s="857" t="s">
        <v>524</v>
      </c>
      <c r="C358" s="460"/>
      <c r="D358" s="460"/>
      <c r="E358" s="460"/>
      <c r="F358" s="460"/>
      <c r="G358" s="460"/>
      <c r="H358" s="460"/>
      <c r="I358" s="445" t="s">
        <v>525</v>
      </c>
    </row>
    <row r="359" spans="2:9">
      <c r="B359" s="475" t="s">
        <v>301</v>
      </c>
      <c r="C359" s="465" t="s">
        <v>311</v>
      </c>
      <c r="D359" s="465"/>
      <c r="I359" s="445"/>
    </row>
    <row r="360" spans="2:9">
      <c r="B360" s="479"/>
      <c r="C360" s="464" t="s">
        <v>302</v>
      </c>
      <c r="D360" s="464" t="s">
        <v>303</v>
      </c>
      <c r="I360" s="445"/>
    </row>
    <row r="361" spans="2:9">
      <c r="B361" s="463" t="s">
        <v>526</v>
      </c>
      <c r="C361" s="464"/>
      <c r="D361" s="464"/>
      <c r="I361" s="445"/>
    </row>
    <row r="362" spans="2:9">
      <c r="B362" s="463" t="s">
        <v>527</v>
      </c>
      <c r="C362" s="464"/>
      <c r="D362" s="464"/>
      <c r="I362" s="445"/>
    </row>
    <row r="363" spans="2:9">
      <c r="B363" s="461"/>
      <c r="I363" s="445"/>
    </row>
    <row r="364" ht="24" customHeight="1" spans="2:9">
      <c r="B364" s="857" t="s">
        <v>528</v>
      </c>
      <c r="C364" s="460"/>
      <c r="D364" s="460"/>
      <c r="E364" s="460"/>
      <c r="F364" s="460"/>
      <c r="G364" s="460"/>
      <c r="H364" s="460"/>
      <c r="I364" s="445"/>
    </row>
    <row r="365" ht="36" customHeight="1" spans="2:9">
      <c r="B365" s="857" t="s">
        <v>529</v>
      </c>
      <c r="C365" s="460"/>
      <c r="D365" s="460"/>
      <c r="E365" s="460"/>
      <c r="F365" s="460"/>
      <c r="G365" s="460"/>
      <c r="H365" s="460"/>
      <c r="I365" s="445"/>
    </row>
    <row r="366" spans="2:9">
      <c r="B366" s="463"/>
      <c r="C366" s="464" t="s">
        <v>302</v>
      </c>
      <c r="D366" s="464" t="s">
        <v>303</v>
      </c>
      <c r="I366" s="445"/>
    </row>
    <row r="367" spans="2:9">
      <c r="B367" s="463" t="s">
        <v>530</v>
      </c>
      <c r="C367" s="464"/>
      <c r="D367" s="464"/>
      <c r="I367" s="445"/>
    </row>
    <row r="368" spans="2:9">
      <c r="B368" s="463" t="s">
        <v>531</v>
      </c>
      <c r="C368" s="464"/>
      <c r="D368" s="464"/>
      <c r="I368" s="445"/>
    </row>
    <row r="369" spans="2:9">
      <c r="B369" s="463" t="s">
        <v>532</v>
      </c>
      <c r="C369" s="464"/>
      <c r="D369" s="464"/>
      <c r="I369" s="445"/>
    </row>
    <row r="370" spans="2:9">
      <c r="B370" s="463" t="s">
        <v>533</v>
      </c>
      <c r="C370" s="464"/>
      <c r="D370" s="464"/>
      <c r="I370" s="445"/>
    </row>
    <row r="371" spans="2:9">
      <c r="B371" s="463" t="s">
        <v>534</v>
      </c>
      <c r="C371" s="464"/>
      <c r="D371" s="464"/>
      <c r="I371" s="445"/>
    </row>
    <row r="372" spans="2:9">
      <c r="B372" s="463" t="s">
        <v>535</v>
      </c>
      <c r="C372" s="464"/>
      <c r="D372" s="464"/>
      <c r="I372" s="445"/>
    </row>
    <row r="373" spans="2:9">
      <c r="B373" s="463" t="s">
        <v>536</v>
      </c>
      <c r="C373" s="464"/>
      <c r="D373" s="464"/>
      <c r="I373" s="445"/>
    </row>
    <row r="374" spans="2:9">
      <c r="B374" s="463" t="s">
        <v>537</v>
      </c>
      <c r="C374" s="464"/>
      <c r="D374" s="464"/>
      <c r="I374" s="445"/>
    </row>
    <row r="375" spans="2:9">
      <c r="B375" s="463" t="s">
        <v>538</v>
      </c>
      <c r="C375" s="464"/>
      <c r="D375" s="464"/>
      <c r="I375" s="445"/>
    </row>
    <row r="376" spans="2:9">
      <c r="B376" s="463" t="s">
        <v>539</v>
      </c>
      <c r="C376" s="464"/>
      <c r="D376" s="464"/>
      <c r="I376" s="445"/>
    </row>
    <row r="377" spans="2:9">
      <c r="B377" s="463" t="s">
        <v>540</v>
      </c>
      <c r="C377" s="464"/>
      <c r="D377" s="464"/>
      <c r="I377" s="445"/>
    </row>
    <row r="378" spans="2:9">
      <c r="B378" s="463" t="s">
        <v>541</v>
      </c>
      <c r="C378" s="464"/>
      <c r="D378" s="464"/>
      <c r="I378" s="445"/>
    </row>
    <row r="379" ht="34.2" spans="2:9">
      <c r="B379" s="468" t="s">
        <v>542</v>
      </c>
      <c r="C379" s="464"/>
      <c r="D379" s="464"/>
      <c r="I379" s="445"/>
    </row>
    <row r="380" spans="2:9">
      <c r="B380" s="463" t="s">
        <v>372</v>
      </c>
      <c r="C380" s="464"/>
      <c r="D380" s="464"/>
      <c r="I380" s="445"/>
    </row>
    <row r="381" spans="2:9">
      <c r="B381" s="463" t="s">
        <v>543</v>
      </c>
      <c r="C381" s="464"/>
      <c r="D381" s="464"/>
      <c r="I381" s="445"/>
    </row>
    <row r="382" spans="2:9">
      <c r="B382" s="461"/>
      <c r="I382" s="445"/>
    </row>
    <row r="383" spans="2:9">
      <c r="B383" s="461" t="s">
        <v>544</v>
      </c>
      <c r="I383" s="445"/>
    </row>
    <row r="384" spans="2:9">
      <c r="B384" s="463"/>
      <c r="C384" s="464" t="s">
        <v>302</v>
      </c>
      <c r="D384" s="464" t="s">
        <v>303</v>
      </c>
      <c r="I384" s="445"/>
    </row>
    <row r="385" spans="2:9">
      <c r="B385" s="463" t="s">
        <v>545</v>
      </c>
      <c r="C385" s="464"/>
      <c r="D385" s="464"/>
      <c r="I385" s="445"/>
    </row>
    <row r="386" spans="2:9">
      <c r="B386" s="463" t="s">
        <v>530</v>
      </c>
      <c r="C386" s="464"/>
      <c r="D386" s="464"/>
      <c r="I386" s="445"/>
    </row>
    <row r="387" spans="2:9">
      <c r="B387" s="463" t="s">
        <v>532</v>
      </c>
      <c r="C387" s="464"/>
      <c r="D387" s="464"/>
      <c r="I387" s="445"/>
    </row>
    <row r="388" spans="2:9">
      <c r="B388" s="463" t="s">
        <v>533</v>
      </c>
      <c r="C388" s="464"/>
      <c r="D388" s="464"/>
      <c r="I388" s="445"/>
    </row>
    <row r="389" spans="2:9">
      <c r="B389" s="463" t="s">
        <v>546</v>
      </c>
      <c r="C389" s="464"/>
      <c r="D389" s="464"/>
      <c r="I389" s="445"/>
    </row>
    <row r="390" spans="2:9">
      <c r="B390" s="463" t="s">
        <v>537</v>
      </c>
      <c r="C390" s="464"/>
      <c r="D390" s="464"/>
      <c r="I390" s="445"/>
    </row>
    <row r="391" spans="2:9">
      <c r="B391" s="463" t="s">
        <v>538</v>
      </c>
      <c r="C391" s="464"/>
      <c r="D391" s="464"/>
      <c r="I391" s="445"/>
    </row>
    <row r="392" spans="2:9">
      <c r="B392" s="463" t="s">
        <v>547</v>
      </c>
      <c r="C392" s="464"/>
      <c r="D392" s="464"/>
      <c r="I392" s="445"/>
    </row>
    <row r="393" spans="2:9">
      <c r="B393" s="463" t="s">
        <v>548</v>
      </c>
      <c r="C393" s="464"/>
      <c r="D393" s="464"/>
      <c r="I393" s="445"/>
    </row>
    <row r="394" spans="2:9">
      <c r="B394" s="463" t="s">
        <v>372</v>
      </c>
      <c r="C394" s="464"/>
      <c r="D394" s="464"/>
      <c r="I394" s="445"/>
    </row>
    <row r="395" spans="2:9">
      <c r="B395" s="463" t="s">
        <v>543</v>
      </c>
      <c r="C395" s="464"/>
      <c r="D395" s="464"/>
      <c r="I395" s="445"/>
    </row>
    <row r="396" spans="2:9">
      <c r="B396" s="461"/>
      <c r="I396" s="445"/>
    </row>
    <row r="397" ht="36" customHeight="1" spans="2:9">
      <c r="B397" s="857" t="s">
        <v>549</v>
      </c>
      <c r="C397" s="460"/>
      <c r="D397" s="460"/>
      <c r="E397" s="460"/>
      <c r="F397" s="460"/>
      <c r="G397" s="460"/>
      <c r="H397" s="460"/>
      <c r="I397" s="445"/>
    </row>
    <row r="398" ht="36" customHeight="1" spans="2:9">
      <c r="B398" s="512"/>
      <c r="C398" s="513"/>
      <c r="D398" s="513"/>
      <c r="E398" s="460"/>
      <c r="F398" s="460"/>
      <c r="G398" s="460"/>
      <c r="H398" s="460"/>
      <c r="I398" s="445"/>
    </row>
    <row r="399" spans="2:9">
      <c r="B399" s="514" t="s">
        <v>550</v>
      </c>
      <c r="C399" s="515" t="s">
        <v>302</v>
      </c>
      <c r="D399" s="515" t="s">
        <v>303</v>
      </c>
      <c r="I399" s="445"/>
    </row>
    <row r="400" spans="2:9">
      <c r="B400" s="463" t="s">
        <v>145</v>
      </c>
      <c r="C400" s="464"/>
      <c r="D400" s="464"/>
      <c r="I400" s="445"/>
    </row>
    <row r="401" spans="2:9">
      <c r="B401" s="461"/>
      <c r="I401" s="445"/>
    </row>
    <row r="402" spans="2:9">
      <c r="B402" s="856" t="s">
        <v>551</v>
      </c>
      <c r="I402" s="445"/>
    </row>
    <row r="403" spans="2:9">
      <c r="B403" s="463" t="s">
        <v>550</v>
      </c>
      <c r="C403" s="464" t="s">
        <v>302</v>
      </c>
      <c r="D403" s="464" t="s">
        <v>303</v>
      </c>
      <c r="I403" s="445"/>
    </row>
    <row r="404" spans="2:9">
      <c r="B404" s="463" t="s">
        <v>145</v>
      </c>
      <c r="C404" s="464"/>
      <c r="D404" s="464"/>
      <c r="I404" s="445"/>
    </row>
    <row r="405" spans="2:9">
      <c r="B405" s="461"/>
      <c r="I405" s="445"/>
    </row>
    <row r="406" spans="2:9">
      <c r="B406" s="856" t="s">
        <v>552</v>
      </c>
      <c r="I406" s="445"/>
    </row>
    <row r="407" spans="2:9">
      <c r="B407" s="463"/>
      <c r="C407" s="464" t="s">
        <v>302</v>
      </c>
      <c r="D407" s="464" t="s">
        <v>303</v>
      </c>
      <c r="E407" s="464" t="s">
        <v>431</v>
      </c>
      <c r="I407" s="445"/>
    </row>
    <row r="408" spans="2:9">
      <c r="B408" s="463" t="s">
        <v>553</v>
      </c>
      <c r="C408" s="464"/>
      <c r="D408" s="464"/>
      <c r="E408" s="464"/>
      <c r="I408" s="445"/>
    </row>
    <row r="409" spans="2:9">
      <c r="B409" s="463" t="s">
        <v>554</v>
      </c>
      <c r="C409" s="464"/>
      <c r="D409" s="464"/>
      <c r="E409" s="464"/>
      <c r="I409" s="445"/>
    </row>
    <row r="410" spans="2:9">
      <c r="B410" s="463" t="s">
        <v>555</v>
      </c>
      <c r="C410" s="464"/>
      <c r="D410" s="464"/>
      <c r="E410" s="464"/>
      <c r="I410" s="445"/>
    </row>
    <row r="411" spans="2:9">
      <c r="B411" s="463" t="s">
        <v>556</v>
      </c>
      <c r="C411" s="464"/>
      <c r="D411" s="464"/>
      <c r="E411" s="464"/>
      <c r="I411" s="445"/>
    </row>
    <row r="412" spans="2:9">
      <c r="B412" s="516" t="s">
        <v>145</v>
      </c>
      <c r="C412" s="517"/>
      <c r="D412" s="517"/>
      <c r="E412" s="517"/>
      <c r="I412" s="445"/>
    </row>
    <row r="413" spans="2:9">
      <c r="B413" s="480" t="s">
        <v>557</v>
      </c>
      <c r="C413" s="476"/>
      <c r="D413" s="476"/>
      <c r="E413" s="464"/>
      <c r="I413" s="445"/>
    </row>
    <row r="414" spans="2:9">
      <c r="B414" s="511"/>
      <c r="C414" s="491"/>
      <c r="D414" s="491"/>
      <c r="I414" s="445"/>
    </row>
    <row r="415" spans="2:9">
      <c r="B415" s="463" t="s">
        <v>558</v>
      </c>
      <c r="C415" s="465" t="s">
        <v>559</v>
      </c>
      <c r="D415" s="465"/>
      <c r="E415" s="465"/>
      <c r="F415" s="465" t="s">
        <v>560</v>
      </c>
      <c r="G415" s="465"/>
      <c r="H415" s="465"/>
      <c r="I415" s="445"/>
    </row>
    <row r="416" spans="2:9">
      <c r="B416" s="463"/>
      <c r="C416" s="464" t="s">
        <v>561</v>
      </c>
      <c r="D416" s="464" t="s">
        <v>562</v>
      </c>
      <c r="E416" s="464" t="s">
        <v>563</v>
      </c>
      <c r="F416" s="464" t="s">
        <v>561</v>
      </c>
      <c r="G416" s="464" t="s">
        <v>562</v>
      </c>
      <c r="H416" s="464" t="s">
        <v>563</v>
      </c>
      <c r="I416" s="445"/>
    </row>
    <row r="417" spans="2:9">
      <c r="B417" s="463" t="s">
        <v>564</v>
      </c>
      <c r="C417" s="464"/>
      <c r="D417" s="464"/>
      <c r="E417" s="464"/>
      <c r="F417" s="464"/>
      <c r="G417" s="464"/>
      <c r="H417" s="464"/>
      <c r="I417" s="445"/>
    </row>
    <row r="418" spans="2:9">
      <c r="B418" s="463" t="s">
        <v>565</v>
      </c>
      <c r="C418" s="464"/>
      <c r="D418" s="464"/>
      <c r="E418" s="464"/>
      <c r="F418" s="464"/>
      <c r="G418" s="464"/>
      <c r="H418" s="464"/>
      <c r="I418" s="445"/>
    </row>
    <row r="419" spans="2:9">
      <c r="B419" s="463" t="s">
        <v>566</v>
      </c>
      <c r="C419" s="464"/>
      <c r="D419" s="464"/>
      <c r="E419" s="464"/>
      <c r="F419" s="464"/>
      <c r="G419" s="464"/>
      <c r="H419" s="464"/>
      <c r="I419" s="445"/>
    </row>
    <row r="420" spans="2:9">
      <c r="B420" s="463" t="s">
        <v>567</v>
      </c>
      <c r="C420" s="464"/>
      <c r="D420" s="464"/>
      <c r="E420" s="464"/>
      <c r="F420" s="464"/>
      <c r="G420" s="464"/>
      <c r="H420" s="464"/>
      <c r="I420" s="445"/>
    </row>
    <row r="421" spans="2:9">
      <c r="B421" s="463" t="s">
        <v>568</v>
      </c>
      <c r="C421" s="464"/>
      <c r="D421" s="464"/>
      <c r="E421" s="464"/>
      <c r="F421" s="464"/>
      <c r="G421" s="464"/>
      <c r="H421" s="464"/>
      <c r="I421" s="445"/>
    </row>
    <row r="422" spans="2:9">
      <c r="B422" s="463" t="s">
        <v>569</v>
      </c>
      <c r="C422" s="464"/>
      <c r="D422" s="464"/>
      <c r="E422" s="464"/>
      <c r="F422" s="464"/>
      <c r="G422" s="464"/>
      <c r="H422" s="464"/>
      <c r="I422" s="445"/>
    </row>
    <row r="423" spans="2:9">
      <c r="B423" s="463" t="s">
        <v>570</v>
      </c>
      <c r="C423" s="464"/>
      <c r="D423" s="464"/>
      <c r="E423" s="464"/>
      <c r="F423" s="464"/>
      <c r="G423" s="464"/>
      <c r="H423" s="464"/>
      <c r="I423" s="445"/>
    </row>
    <row r="424" spans="2:9">
      <c r="B424" s="463" t="s">
        <v>571</v>
      </c>
      <c r="C424" s="464"/>
      <c r="D424" s="464"/>
      <c r="E424" s="464"/>
      <c r="F424" s="464"/>
      <c r="G424" s="464"/>
      <c r="H424" s="464"/>
      <c r="I424" s="445"/>
    </row>
    <row r="425" spans="2:9">
      <c r="B425" s="463" t="s">
        <v>572</v>
      </c>
      <c r="C425" s="464"/>
      <c r="D425" s="464"/>
      <c r="E425" s="464"/>
      <c r="F425" s="464"/>
      <c r="G425" s="464"/>
      <c r="H425" s="464"/>
      <c r="I425" s="445"/>
    </row>
    <row r="426" spans="2:9">
      <c r="B426" s="463" t="s">
        <v>573</v>
      </c>
      <c r="C426" s="464"/>
      <c r="D426" s="464"/>
      <c r="E426" s="464"/>
      <c r="F426" s="464"/>
      <c r="G426" s="464"/>
      <c r="H426" s="464"/>
      <c r="I426" s="445"/>
    </row>
    <row r="427" spans="2:9">
      <c r="B427" s="463" t="s">
        <v>574</v>
      </c>
      <c r="C427" s="464"/>
      <c r="D427" s="464"/>
      <c r="E427" s="464"/>
      <c r="F427" s="464"/>
      <c r="G427" s="464"/>
      <c r="H427" s="464"/>
      <c r="I427" s="445"/>
    </row>
    <row r="428" spans="2:9">
      <c r="B428" s="461"/>
      <c r="I428" s="445"/>
    </row>
    <row r="429" ht="12.15" spans="2:9">
      <c r="B429" s="518"/>
      <c r="C429" s="519"/>
      <c r="D429" s="519"/>
      <c r="E429" s="519"/>
      <c r="F429" s="519"/>
      <c r="G429" s="519"/>
      <c r="H429" s="519"/>
      <c r="I429" s="520"/>
    </row>
  </sheetData>
  <mergeCells count="95">
    <mergeCell ref="B3:I3"/>
    <mergeCell ref="B4:I4"/>
    <mergeCell ref="B6:H6"/>
    <mergeCell ref="B7:H7"/>
    <mergeCell ref="B8:H8"/>
    <mergeCell ref="B9:H9"/>
    <mergeCell ref="B11:H11"/>
    <mergeCell ref="B12:H12"/>
    <mergeCell ref="B13:H13"/>
    <mergeCell ref="B14:H14"/>
    <mergeCell ref="B15:H15"/>
    <mergeCell ref="B18:H18"/>
    <mergeCell ref="B26:H26"/>
    <mergeCell ref="C27:D27"/>
    <mergeCell ref="E27:F27"/>
    <mergeCell ref="B41:H41"/>
    <mergeCell ref="C42:D42"/>
    <mergeCell ref="E42:F42"/>
    <mergeCell ref="B54:H54"/>
    <mergeCell ref="C55:D55"/>
    <mergeCell ref="E55:F55"/>
    <mergeCell ref="B63:H63"/>
    <mergeCell ref="C64:D64"/>
    <mergeCell ref="E64:F64"/>
    <mergeCell ref="B75:H75"/>
    <mergeCell ref="B77:H77"/>
    <mergeCell ref="C78:D78"/>
    <mergeCell ref="E78:F78"/>
    <mergeCell ref="B87:H87"/>
    <mergeCell ref="C88:D88"/>
    <mergeCell ref="E88:F88"/>
    <mergeCell ref="B98:H98"/>
    <mergeCell ref="B112:H112"/>
    <mergeCell ref="B114:H114"/>
    <mergeCell ref="B116:H116"/>
    <mergeCell ref="B127:H127"/>
    <mergeCell ref="B129:H129"/>
    <mergeCell ref="B140:H140"/>
    <mergeCell ref="B158:H158"/>
    <mergeCell ref="B170:H170"/>
    <mergeCell ref="B178:H178"/>
    <mergeCell ref="B185:H185"/>
    <mergeCell ref="B191:H191"/>
    <mergeCell ref="B193:H193"/>
    <mergeCell ref="B200:H200"/>
    <mergeCell ref="B206:H206"/>
    <mergeCell ref="B211:H211"/>
    <mergeCell ref="B240:H240"/>
    <mergeCell ref="B246:H246"/>
    <mergeCell ref="B250:H250"/>
    <mergeCell ref="E251:G251"/>
    <mergeCell ref="B256:H256"/>
    <mergeCell ref="B264:H264"/>
    <mergeCell ref="B266:H266"/>
    <mergeCell ref="B281:H281"/>
    <mergeCell ref="C282:H282"/>
    <mergeCell ref="C292:H292"/>
    <mergeCell ref="B302:H302"/>
    <mergeCell ref="B314:H314"/>
    <mergeCell ref="B315:D315"/>
    <mergeCell ref="B316:D316"/>
    <mergeCell ref="B317:D317"/>
    <mergeCell ref="B318:D318"/>
    <mergeCell ref="B319:D319"/>
    <mergeCell ref="B320:D320"/>
    <mergeCell ref="B321:D321"/>
    <mergeCell ref="B323:H323"/>
    <mergeCell ref="B326:H326"/>
    <mergeCell ref="B329:H329"/>
    <mergeCell ref="B358:H358"/>
    <mergeCell ref="C359:D359"/>
    <mergeCell ref="B364:H364"/>
    <mergeCell ref="B365:H365"/>
    <mergeCell ref="B397:H397"/>
    <mergeCell ref="B413:D413"/>
    <mergeCell ref="C415:E415"/>
    <mergeCell ref="F415:H415"/>
    <mergeCell ref="B64:B65"/>
    <mergeCell ref="B78:B79"/>
    <mergeCell ref="B88:B89"/>
    <mergeCell ref="B118:B119"/>
    <mergeCell ref="B130:B131"/>
    <mergeCell ref="B141:B142"/>
    <mergeCell ref="B149:B150"/>
    <mergeCell ref="B159:B160"/>
    <mergeCell ref="B171:B172"/>
    <mergeCell ref="B179:B180"/>
    <mergeCell ref="B186:B187"/>
    <mergeCell ref="B194:B195"/>
    <mergeCell ref="B201:B202"/>
    <mergeCell ref="B212:B213"/>
    <mergeCell ref="B251:B252"/>
    <mergeCell ref="B359:B360"/>
    <mergeCell ref="C251:C252"/>
    <mergeCell ref="D251:D252"/>
  </mergeCells>
  <hyperlinks>
    <hyperlink ref="B6" r:id="rId1" display="Para descargar el MODELO DE NOTAS DE BASES DE PREPARACIÓN, haga clic aquí"/>
    <hyperlink ref="B6:H6" r:id="rId1" display="Para descargar el MODELO DE NOTAS DE BASES DE PREPARACIÓN, haga clic aquí"/>
  </hyperlinks>
  <pageMargins left="0.25" right="0.25" top="0.75" bottom="0.75" header="0.3" footer="0.3"/>
  <pageSetup paperSize="9" scale="64"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44"/>
  <sheetViews>
    <sheetView zoomScale="75" zoomScaleNormal="75" workbookViewId="0">
      <selection activeCell="B26" sqref="B26"/>
    </sheetView>
  </sheetViews>
  <sheetFormatPr defaultColWidth="9.13888888888889" defaultRowHeight="13.2"/>
  <cols>
    <col min="1" max="1" width="2.85185185185185" style="21" customWidth="1"/>
    <col min="2" max="2" width="76.5740740740741" style="21" customWidth="1"/>
    <col min="3" max="3" width="13.287037037037" style="21" customWidth="1"/>
    <col min="4" max="4" width="13" style="21" customWidth="1"/>
    <col min="5" max="5" width="13.4259259259259" style="21" customWidth="1"/>
    <col min="6" max="6" width="12.1388888888889" style="21" customWidth="1"/>
    <col min="7" max="7" width="11.712962962963" style="21" customWidth="1"/>
    <col min="8" max="8" width="4.85185185185185" style="21" customWidth="1"/>
    <col min="9" max="16384" width="9.13888888888889" style="21"/>
  </cols>
  <sheetData>
    <row r="1" ht="13.95"/>
    <row r="2" ht="13.8" spans="2:9">
      <c r="B2" s="379" t="s">
        <v>0</v>
      </c>
      <c r="C2" s="380"/>
      <c r="D2" s="380"/>
      <c r="E2" s="381"/>
      <c r="F2" s="381"/>
      <c r="G2" s="382" t="s">
        <v>575</v>
      </c>
    </row>
    <row r="3" ht="13.8" spans="2:9">
      <c r="B3" s="383" t="s">
        <v>576</v>
      </c>
      <c r="C3" s="41"/>
      <c r="D3" s="41"/>
      <c r="E3" s="41"/>
      <c r="F3" s="41"/>
      <c r="G3" s="384"/>
    </row>
    <row r="4" ht="14.55" spans="2:9">
      <c r="B4" s="385" t="s">
        <v>274</v>
      </c>
      <c r="C4" s="386"/>
      <c r="D4" s="386"/>
      <c r="E4" s="386"/>
      <c r="F4" s="386"/>
      <c r="G4" s="387"/>
    </row>
    <row r="5" ht="14.55" spans="2:9">
      <c r="B5" s="388"/>
      <c r="C5" s="389" t="s">
        <v>17</v>
      </c>
      <c r="D5" s="389"/>
      <c r="E5" s="389"/>
      <c r="F5" s="390"/>
      <c r="G5" s="391" t="s">
        <v>17</v>
      </c>
    </row>
    <row r="6" ht="42.15" spans="2:9">
      <c r="B6" s="392" t="s">
        <v>577</v>
      </c>
      <c r="C6" s="393" t="s">
        <v>578</v>
      </c>
      <c r="D6" s="394" t="s">
        <v>579</v>
      </c>
      <c r="E6" s="395" t="s">
        <v>580</v>
      </c>
      <c r="F6" s="393" t="s">
        <v>581</v>
      </c>
      <c r="G6" s="396" t="s">
        <v>581</v>
      </c>
    </row>
    <row r="7" ht="13.8" spans="2:9">
      <c r="B7" s="392" t="s">
        <v>582</v>
      </c>
      <c r="C7" s="397"/>
      <c r="D7" s="398"/>
      <c r="E7" s="399"/>
      <c r="F7" s="399"/>
      <c r="G7" s="400"/>
    </row>
    <row r="8" ht="13.8" spans="2:9">
      <c r="B8" s="392" t="s">
        <v>583</v>
      </c>
      <c r="C8" s="397"/>
      <c r="D8" s="398"/>
      <c r="E8" s="399"/>
      <c r="F8" s="399"/>
      <c r="G8" s="400"/>
    </row>
    <row r="9" ht="13.8" spans="2:9">
      <c r="B9" s="401" t="s">
        <v>41</v>
      </c>
      <c r="C9" s="397"/>
      <c r="D9" s="398"/>
      <c r="E9" s="399"/>
      <c r="F9" s="399"/>
      <c r="G9" s="400"/>
    </row>
    <row r="10" ht="13.8" spans="2:9">
      <c r="B10" s="402" t="s">
        <v>584</v>
      </c>
      <c r="C10" s="397"/>
      <c r="D10" s="398"/>
      <c r="E10" s="399"/>
      <c r="F10" s="399"/>
      <c r="G10" s="400"/>
      <c r="I10" s="135"/>
    </row>
    <row r="11" ht="13.8" spans="2:9">
      <c r="B11" s="402" t="s">
        <v>585</v>
      </c>
      <c r="C11" s="397"/>
      <c r="D11" s="398"/>
      <c r="E11" s="399"/>
      <c r="F11" s="399"/>
      <c r="G11" s="400"/>
    </row>
    <row r="12" ht="13.8" spans="2:9">
      <c r="B12" s="401" t="s">
        <v>45</v>
      </c>
      <c r="C12" s="397"/>
      <c r="D12" s="398"/>
      <c r="E12" s="399"/>
      <c r="F12" s="399"/>
      <c r="G12" s="400"/>
    </row>
    <row r="13" ht="13.8" spans="2:9">
      <c r="B13" s="402" t="s">
        <v>586</v>
      </c>
      <c r="C13" s="397"/>
      <c r="D13" s="398"/>
      <c r="E13" s="399"/>
      <c r="F13" s="399"/>
      <c r="G13" s="400"/>
    </row>
    <row r="14" ht="13.8" spans="2:9">
      <c r="B14" s="401" t="s">
        <v>49</v>
      </c>
      <c r="C14" s="397"/>
      <c r="D14" s="398"/>
      <c r="E14" s="399"/>
      <c r="F14" s="399"/>
      <c r="G14" s="400"/>
    </row>
    <row r="15" ht="13.8" spans="2:9">
      <c r="B15" s="401" t="s">
        <v>587</v>
      </c>
      <c r="C15" s="397"/>
      <c r="D15" s="398"/>
      <c r="E15" s="399"/>
      <c r="F15" s="399"/>
      <c r="G15" s="400"/>
    </row>
    <row r="16" ht="13.8" spans="2:9">
      <c r="B16" s="402" t="s">
        <v>61</v>
      </c>
      <c r="C16" s="403"/>
      <c r="D16" s="404"/>
      <c r="E16" s="405"/>
      <c r="F16" s="405"/>
      <c r="G16" s="406"/>
    </row>
    <row r="17" ht="13.8" spans="2:7">
      <c r="B17" s="402" t="s">
        <v>588</v>
      </c>
      <c r="C17" s="407"/>
      <c r="D17" s="408"/>
      <c r="E17" s="405"/>
      <c r="F17" s="405"/>
      <c r="G17" s="406"/>
    </row>
    <row r="18" ht="14.55" spans="2:7">
      <c r="B18" s="402" t="s">
        <v>163</v>
      </c>
      <c r="C18" s="409"/>
      <c r="D18" s="410"/>
      <c r="E18" s="405"/>
      <c r="F18" s="405"/>
      <c r="G18" s="406"/>
    </row>
    <row r="19" ht="14.55" spans="2:7">
      <c r="B19" s="411" t="s">
        <v>589</v>
      </c>
      <c r="C19" s="412"/>
      <c r="D19" s="413"/>
      <c r="E19" s="414"/>
      <c r="F19" s="414">
        <f>SUM(F9,F12,F14,F15,F18)</f>
        <v>0</v>
      </c>
      <c r="G19" s="415">
        <f>SUM(G9,G12,G14,G15,G18)</f>
        <v>0</v>
      </c>
    </row>
    <row r="20" ht="13.8" spans="2:7">
      <c r="B20" s="392" t="s">
        <v>590</v>
      </c>
      <c r="C20" s="403"/>
      <c r="D20" s="404"/>
      <c r="E20" s="405"/>
      <c r="F20" s="405"/>
      <c r="G20" s="406"/>
    </row>
    <row r="21" ht="14.55" spans="2:7">
      <c r="B21" s="402" t="s">
        <v>163</v>
      </c>
      <c r="C21" s="403"/>
      <c r="D21" s="404"/>
      <c r="E21" s="405"/>
      <c r="F21" s="405"/>
      <c r="G21" s="406"/>
    </row>
    <row r="22" ht="14.55" spans="2:7">
      <c r="B22" s="416" t="s">
        <v>591</v>
      </c>
      <c r="C22" s="412"/>
      <c r="D22" s="413"/>
      <c r="E22" s="414"/>
      <c r="F22" s="414">
        <f>SUM(F21)</f>
        <v>0</v>
      </c>
      <c r="G22" s="415">
        <f>SUM(G21)</f>
        <v>0</v>
      </c>
    </row>
    <row r="23" ht="14.55" spans="2:7">
      <c r="B23" s="411" t="s">
        <v>592</v>
      </c>
      <c r="C23" s="417"/>
      <c r="D23" s="418"/>
      <c r="E23" s="419"/>
      <c r="F23" s="419">
        <f>SUM(F19,F22)</f>
        <v>0</v>
      </c>
      <c r="G23" s="420">
        <f>SUM(G19,G22)</f>
        <v>0</v>
      </c>
    </row>
    <row r="24" ht="13.8" spans="2:7">
      <c r="B24" s="392" t="s">
        <v>593</v>
      </c>
      <c r="C24" s="407"/>
      <c r="D24" s="408"/>
      <c r="E24" s="405"/>
      <c r="F24" s="405"/>
      <c r="G24" s="406"/>
    </row>
    <row r="25" ht="13.8" spans="2:7">
      <c r="B25" s="401" t="s">
        <v>594</v>
      </c>
      <c r="C25" s="409"/>
      <c r="D25" s="410"/>
      <c r="E25" s="405"/>
      <c r="F25" s="405"/>
      <c r="G25" s="406"/>
    </row>
    <row r="26" ht="13.8" spans="2:7">
      <c r="B26" s="402" t="s">
        <v>383</v>
      </c>
      <c r="C26" s="409"/>
      <c r="D26" s="410"/>
      <c r="E26" s="405"/>
      <c r="F26" s="405"/>
      <c r="G26" s="406"/>
    </row>
    <row r="27" ht="13.8" spans="2:7">
      <c r="B27" s="402" t="s">
        <v>595</v>
      </c>
      <c r="C27" s="409"/>
      <c r="D27" s="410"/>
      <c r="E27" s="405"/>
      <c r="F27" s="405"/>
      <c r="G27" s="406"/>
    </row>
    <row r="28" ht="13.8" spans="2:7">
      <c r="B28" s="401" t="s">
        <v>484</v>
      </c>
      <c r="C28" s="421"/>
      <c r="D28" s="410"/>
      <c r="E28" s="405"/>
      <c r="F28" s="405"/>
      <c r="G28" s="406"/>
    </row>
    <row r="29" ht="13.8" spans="2:7">
      <c r="B29" s="402" t="s">
        <v>596</v>
      </c>
      <c r="C29" s="409"/>
      <c r="D29" s="410"/>
      <c r="E29" s="405"/>
      <c r="F29" s="405"/>
      <c r="G29" s="406"/>
    </row>
    <row r="30" ht="13.8" spans="2:7">
      <c r="B30" s="401" t="s">
        <v>75</v>
      </c>
      <c r="C30" s="409"/>
      <c r="D30" s="410"/>
      <c r="E30" s="405"/>
      <c r="F30" s="405"/>
      <c r="G30" s="406"/>
    </row>
    <row r="31" ht="14.55" spans="2:7">
      <c r="B31" s="402" t="s">
        <v>163</v>
      </c>
      <c r="C31" s="409"/>
      <c r="D31" s="410"/>
      <c r="E31" s="405"/>
      <c r="F31" s="405"/>
      <c r="G31" s="406"/>
    </row>
    <row r="32" ht="14.55" spans="2:7">
      <c r="B32" s="411" t="s">
        <v>597</v>
      </c>
      <c r="C32" s="422"/>
      <c r="D32" s="423"/>
      <c r="E32" s="414"/>
      <c r="F32" s="414">
        <f>SUM(F25,F28,F30,F31)</f>
        <v>0</v>
      </c>
      <c r="G32" s="415">
        <f>SUM(G25,G28,G30,G31)</f>
        <v>0</v>
      </c>
    </row>
    <row r="33" ht="13.8" spans="2:7">
      <c r="B33" s="392" t="s">
        <v>598</v>
      </c>
      <c r="C33" s="409"/>
      <c r="D33" s="410"/>
      <c r="E33" s="405"/>
      <c r="F33" s="405"/>
      <c r="G33" s="406"/>
    </row>
    <row r="34" ht="14.55" spans="2:7">
      <c r="B34" s="402" t="s">
        <v>163</v>
      </c>
      <c r="C34" s="409"/>
      <c r="D34" s="410"/>
      <c r="E34" s="405"/>
      <c r="F34" s="405"/>
      <c r="G34" s="406"/>
    </row>
    <row r="35" ht="14.55" spans="2:7">
      <c r="B35" s="416" t="s">
        <v>599</v>
      </c>
      <c r="C35" s="424"/>
      <c r="D35" s="425"/>
      <c r="E35" s="426"/>
      <c r="F35" s="426">
        <f>SUM(F34)</f>
        <v>0</v>
      </c>
      <c r="G35" s="427">
        <f>SUM(G34)</f>
        <v>0</v>
      </c>
    </row>
    <row r="36" ht="14.55" spans="2:7">
      <c r="B36" s="411" t="s">
        <v>600</v>
      </c>
      <c r="C36" s="422"/>
      <c r="D36" s="423"/>
      <c r="E36" s="414"/>
      <c r="F36" s="414">
        <f>+F32+F35</f>
        <v>0</v>
      </c>
      <c r="G36" s="415">
        <f>+G32+G35</f>
        <v>0</v>
      </c>
    </row>
    <row r="38" spans="2:7">
      <c r="B38" s="428" t="s">
        <v>104</v>
      </c>
      <c r="C38" s="242"/>
      <c r="D38" s="243"/>
      <c r="E38" s="243"/>
      <c r="F38" s="244"/>
    </row>
    <row r="39" spans="2:7">
      <c r="B39" s="428"/>
      <c r="C39" s="242"/>
      <c r="D39" s="243"/>
      <c r="E39" s="243"/>
      <c r="F39" s="244"/>
    </row>
    <row r="40" spans="2:7">
      <c r="B40" s="305" t="s">
        <v>105</v>
      </c>
    </row>
    <row r="41" spans="2:7">
      <c r="B41" s="34" t="s">
        <v>106</v>
      </c>
    </row>
    <row r="42" spans="2:7">
      <c r="B42" s="29" t="s">
        <v>107</v>
      </c>
    </row>
    <row r="43" spans="2:7">
      <c r="B43" s="429" t="s">
        <v>108</v>
      </c>
    </row>
    <row r="44" spans="2:7">
      <c r="B44" s="33"/>
    </row>
  </sheetData>
  <mergeCells count="3">
    <mergeCell ref="B3:G3"/>
    <mergeCell ref="B4:G4"/>
    <mergeCell ref="C5:F5"/>
  </mergeCells>
  <conditionalFormatting sqref="D38:E39">
    <cfRule type="containsText" dxfId="3" priority="1" operator="between" text="control">
      <formula>NOT(ISERROR(SEARCH("control",D38)))</formula>
    </cfRule>
  </conditionalFormatting>
  <pageMargins left="0.25" right="0.25" top="0.75" bottom="0.75" header="0.3" footer="0.3"/>
  <pageSetup paperSize="9" scale="76"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N37"/>
  <sheetViews>
    <sheetView zoomScale="75" zoomScaleNormal="75" workbookViewId="0">
      <selection activeCell="B36" sqref="B36"/>
    </sheetView>
  </sheetViews>
  <sheetFormatPr defaultColWidth="9.13888888888889" defaultRowHeight="13.2"/>
  <cols>
    <col min="1" max="1" width="2.85185185185185" style="21" customWidth="1"/>
    <col min="2" max="2" width="25.8518518518519" style="21" customWidth="1"/>
    <col min="3" max="3" width="10.5740740740741" style="21" customWidth="1"/>
    <col min="4" max="4" width="11.712962962963" style="21" customWidth="1"/>
    <col min="5" max="5" width="7.71296296296296" style="21" customWidth="1"/>
    <col min="6" max="6" width="13.8518518518519" style="21" customWidth="1"/>
    <col min="7" max="7" width="10.5740740740741" style="21" customWidth="1"/>
    <col min="8" max="8" width="12.287037037037" style="21" customWidth="1"/>
    <col min="9" max="9" width="7.42592592592593" style="21" customWidth="1"/>
    <col min="10" max="10" width="14.1388888888889" style="21" customWidth="1"/>
    <col min="11" max="11" width="10.5740740740741" style="21" customWidth="1"/>
    <col min="12" max="12" width="13.712962962963" style="21" customWidth="1"/>
    <col min="13" max="13" width="8" style="21" customWidth="1"/>
    <col min="14" max="14" width="14" style="21" customWidth="1"/>
    <col min="15" max="15" width="3.57407407407407" style="21" customWidth="1"/>
    <col min="16" max="16384" width="9.13888888888889" style="21"/>
  </cols>
  <sheetData>
    <row r="1" ht="13.95"/>
    <row r="2" ht="13.8" spans="2:14">
      <c r="B2" s="3" t="s">
        <v>0</v>
      </c>
      <c r="C2" s="37"/>
      <c r="D2" s="37"/>
      <c r="E2" s="37"/>
      <c r="F2" s="38"/>
      <c r="G2" s="38"/>
      <c r="H2" s="38"/>
      <c r="I2" s="375"/>
      <c r="J2" s="375"/>
      <c r="K2" s="375"/>
      <c r="L2" s="375"/>
      <c r="M2" s="375"/>
      <c r="N2" s="39" t="s">
        <v>601</v>
      </c>
    </row>
    <row r="3" ht="13.8" spans="2:14">
      <c r="B3" s="40" t="s">
        <v>602</v>
      </c>
      <c r="C3" s="41"/>
      <c r="D3" s="41"/>
      <c r="E3" s="41"/>
      <c r="F3" s="41"/>
      <c r="G3" s="41"/>
      <c r="H3" s="41"/>
      <c r="I3" s="41"/>
      <c r="J3" s="41"/>
      <c r="K3" s="41"/>
      <c r="L3" s="41"/>
      <c r="M3" s="41"/>
      <c r="N3" s="42"/>
    </row>
    <row r="4" spans="2:14">
      <c r="B4" s="376"/>
      <c r="C4" s="377"/>
      <c r="D4" s="377"/>
      <c r="E4" s="377"/>
      <c r="F4" s="377"/>
      <c r="G4" s="377"/>
      <c r="H4" s="377"/>
      <c r="I4" s="377"/>
      <c r="J4" s="377"/>
      <c r="K4" s="377"/>
      <c r="L4" s="377"/>
      <c r="M4" s="44"/>
      <c r="N4" s="45"/>
    </row>
    <row r="5" ht="13.95" spans="2:14">
      <c r="B5" s="43" t="s">
        <v>603</v>
      </c>
      <c r="C5" s="44"/>
      <c r="D5" s="44"/>
      <c r="E5" s="44"/>
      <c r="F5" s="44"/>
      <c r="G5" s="44"/>
      <c r="H5" s="44"/>
      <c r="I5" s="44"/>
      <c r="J5" s="44"/>
      <c r="K5" s="44"/>
      <c r="L5" s="44"/>
      <c r="M5" s="44"/>
      <c r="N5" s="45"/>
    </row>
    <row r="6" ht="13.95" spans="2:14">
      <c r="B6" s="378" t="s">
        <v>421</v>
      </c>
      <c r="C6" s="356" t="s">
        <v>604</v>
      </c>
      <c r="D6" s="356"/>
      <c r="E6" s="356"/>
      <c r="F6" s="356"/>
      <c r="G6" s="356"/>
      <c r="H6" s="356"/>
      <c r="I6" s="356"/>
      <c r="J6" s="356"/>
      <c r="K6" s="356"/>
      <c r="L6" s="356"/>
      <c r="M6" s="356"/>
      <c r="N6" s="358"/>
    </row>
    <row r="7" ht="13.95" spans="2:14">
      <c r="B7" s="354"/>
      <c r="C7" s="356" t="s">
        <v>605</v>
      </c>
      <c r="D7" s="356"/>
      <c r="E7" s="356"/>
      <c r="F7" s="356"/>
      <c r="G7" s="356"/>
      <c r="H7" s="356"/>
      <c r="I7" s="356"/>
      <c r="J7" s="356"/>
      <c r="K7" s="357" t="s">
        <v>606</v>
      </c>
      <c r="L7" s="356"/>
      <c r="M7" s="356"/>
      <c r="N7" s="358"/>
    </row>
    <row r="8" ht="13.95" spans="2:14">
      <c r="B8" s="354"/>
      <c r="C8" s="356" t="s">
        <v>45</v>
      </c>
      <c r="D8" s="356"/>
      <c r="E8" s="356"/>
      <c r="F8" s="358"/>
      <c r="G8" s="356" t="s">
        <v>607</v>
      </c>
      <c r="H8" s="356"/>
      <c r="I8" s="356"/>
      <c r="J8" s="358"/>
      <c r="K8" s="356" t="s">
        <v>608</v>
      </c>
      <c r="L8" s="356"/>
      <c r="M8" s="356"/>
      <c r="N8" s="358"/>
    </row>
    <row r="9" s="349" customFormat="1" ht="27.15" spans="2:14">
      <c r="B9" s="359"/>
      <c r="C9" s="360" t="s">
        <v>609</v>
      </c>
      <c r="D9" s="361" t="s">
        <v>610</v>
      </c>
      <c r="E9" s="361" t="s">
        <v>611</v>
      </c>
      <c r="F9" s="361" t="s">
        <v>612</v>
      </c>
      <c r="G9" s="361" t="s">
        <v>609</v>
      </c>
      <c r="H9" s="361" t="s">
        <v>610</v>
      </c>
      <c r="I9" s="361" t="s">
        <v>611</v>
      </c>
      <c r="J9" s="361" t="s">
        <v>612</v>
      </c>
      <c r="K9" s="361" t="s">
        <v>609</v>
      </c>
      <c r="L9" s="361" t="s">
        <v>610</v>
      </c>
      <c r="M9" s="361" t="s">
        <v>611</v>
      </c>
      <c r="N9" s="362" t="s">
        <v>612</v>
      </c>
    </row>
    <row r="10" spans="2:14">
      <c r="B10" s="363" t="s">
        <v>613</v>
      </c>
      <c r="C10" s="364"/>
      <c r="D10" s="364"/>
      <c r="E10" s="22"/>
      <c r="G10" s="364"/>
      <c r="H10" s="22"/>
      <c r="J10" s="22"/>
      <c r="L10" s="364"/>
      <c r="M10" s="364"/>
      <c r="N10" s="22"/>
    </row>
    <row r="11" spans="2:14">
      <c r="B11" s="364" t="s">
        <v>614</v>
      </c>
      <c r="C11" s="364"/>
      <c r="D11" s="364"/>
      <c r="E11" s="22"/>
      <c r="G11" s="364"/>
      <c r="H11" s="22"/>
      <c r="J11" s="22"/>
      <c r="L11" s="364"/>
      <c r="M11" s="364"/>
      <c r="N11" s="22"/>
    </row>
    <row r="12" spans="2:14">
      <c r="B12" s="364" t="s">
        <v>615</v>
      </c>
      <c r="C12" s="364"/>
      <c r="D12" s="364"/>
      <c r="E12" s="22"/>
      <c r="G12" s="364"/>
      <c r="H12" s="22"/>
      <c r="J12" s="22"/>
      <c r="L12" s="364"/>
      <c r="M12" s="364"/>
      <c r="N12" s="22"/>
    </row>
    <row r="13" spans="2:14">
      <c r="B13" s="364" t="s">
        <v>616</v>
      </c>
      <c r="C13" s="364"/>
      <c r="D13" s="364"/>
      <c r="E13" s="22"/>
      <c r="G13" s="364"/>
      <c r="H13" s="22"/>
      <c r="J13" s="22"/>
      <c r="L13" s="364"/>
      <c r="M13" s="364"/>
      <c r="N13" s="22"/>
    </row>
    <row r="14" spans="2:14">
      <c r="B14" s="364" t="s">
        <v>617</v>
      </c>
      <c r="C14" s="364"/>
      <c r="D14" s="364"/>
      <c r="E14" s="22"/>
      <c r="G14" s="364"/>
      <c r="H14" s="22"/>
      <c r="J14" s="22"/>
      <c r="L14" s="364"/>
      <c r="M14" s="364"/>
      <c r="N14" s="22"/>
    </row>
    <row r="15" spans="2:14">
      <c r="B15" s="364" t="s">
        <v>618</v>
      </c>
      <c r="C15" s="364"/>
      <c r="D15" s="364"/>
      <c r="E15" s="22"/>
      <c r="G15" s="364"/>
      <c r="H15" s="22"/>
      <c r="J15" s="22"/>
      <c r="L15" s="364"/>
      <c r="M15" s="364"/>
      <c r="N15" s="22"/>
    </row>
    <row r="16" spans="2:14">
      <c r="B16" s="364" t="s">
        <v>619</v>
      </c>
      <c r="C16" s="364"/>
      <c r="D16" s="364"/>
      <c r="E16" s="22"/>
      <c r="G16" s="364"/>
      <c r="H16" s="22"/>
      <c r="J16" s="22"/>
      <c r="L16" s="364"/>
      <c r="M16" s="364"/>
      <c r="N16" s="22"/>
    </row>
    <row r="17" spans="2:14">
      <c r="B17" s="364" t="s">
        <v>620</v>
      </c>
      <c r="C17" s="364"/>
      <c r="D17" s="364"/>
      <c r="E17" s="22"/>
      <c r="G17" s="364"/>
      <c r="H17" s="22"/>
      <c r="J17" s="22"/>
      <c r="L17" s="364"/>
      <c r="M17" s="364"/>
      <c r="N17" s="22"/>
    </row>
    <row r="18" spans="2:14">
      <c r="B18" s="364" t="s">
        <v>621</v>
      </c>
      <c r="C18" s="364"/>
      <c r="D18" s="364"/>
      <c r="E18" s="22"/>
      <c r="G18" s="364"/>
      <c r="H18" s="22"/>
      <c r="J18" s="22"/>
      <c r="L18" s="364"/>
      <c r="M18" s="364"/>
      <c r="N18" s="22"/>
    </row>
    <row r="19" spans="2:14">
      <c r="B19" s="364" t="s">
        <v>622</v>
      </c>
      <c r="C19" s="364"/>
      <c r="D19" s="364"/>
      <c r="E19" s="22"/>
      <c r="G19" s="364"/>
      <c r="H19" s="22"/>
      <c r="J19" s="22"/>
      <c r="L19" s="364"/>
      <c r="M19" s="364"/>
      <c r="N19" s="22"/>
    </row>
    <row r="20" spans="2:14">
      <c r="B20" s="364" t="s">
        <v>623</v>
      </c>
      <c r="C20" s="364"/>
      <c r="D20" s="364"/>
      <c r="E20" s="22"/>
      <c r="G20" s="364"/>
      <c r="H20" s="22"/>
      <c r="J20" s="22"/>
      <c r="L20" s="364"/>
      <c r="M20" s="364"/>
      <c r="N20" s="22"/>
    </row>
    <row r="21" spans="2:14">
      <c r="B21" s="364" t="s">
        <v>624</v>
      </c>
      <c r="C21" s="364"/>
      <c r="D21" s="364"/>
      <c r="E21" s="22"/>
      <c r="G21" s="364"/>
      <c r="H21" s="22"/>
      <c r="J21" s="22"/>
      <c r="L21" s="364"/>
      <c r="M21" s="364"/>
      <c r="N21" s="22"/>
    </row>
    <row r="22" spans="2:14">
      <c r="B22" s="364" t="s">
        <v>625</v>
      </c>
      <c r="C22" s="364"/>
      <c r="D22" s="364"/>
      <c r="E22" s="22"/>
      <c r="G22" s="364"/>
      <c r="H22" s="22"/>
      <c r="J22" s="22"/>
      <c r="L22" s="364"/>
      <c r="M22" s="364"/>
      <c r="N22" s="22"/>
    </row>
    <row r="23" spans="2:14">
      <c r="B23" s="364" t="s">
        <v>626</v>
      </c>
      <c r="C23" s="364"/>
      <c r="D23" s="364"/>
      <c r="E23" s="22"/>
      <c r="G23" s="364"/>
      <c r="H23" s="22"/>
      <c r="J23" s="22"/>
      <c r="L23" s="364"/>
      <c r="M23" s="364"/>
      <c r="N23" s="22"/>
    </row>
    <row r="24" ht="13.95" spans="2:14">
      <c r="B24" s="364" t="s">
        <v>627</v>
      </c>
      <c r="C24" s="27"/>
      <c r="D24" s="364"/>
      <c r="E24" s="22"/>
      <c r="G24" s="364"/>
      <c r="H24" s="22"/>
      <c r="J24" s="365"/>
      <c r="L24" s="27"/>
      <c r="M24" s="364"/>
      <c r="N24" s="365"/>
    </row>
    <row r="25" ht="13.95" spans="2:14">
      <c r="B25" s="366" t="s">
        <v>628</v>
      </c>
      <c r="C25" s="364">
        <f>SUM(C11:C24)</f>
        <v>0</v>
      </c>
      <c r="D25" s="367">
        <f>SUM(D11:D24)</f>
        <v>0</v>
      </c>
      <c r="E25" s="28"/>
      <c r="F25" s="368"/>
      <c r="G25" s="369">
        <f>SUM(G11:G24)</f>
        <v>0</v>
      </c>
      <c r="H25" s="28">
        <f>SUM(H11:H24)</f>
        <v>0</v>
      </c>
      <c r="I25" s="370"/>
      <c r="K25" s="16">
        <f>SUM(K11:K24)</f>
        <v>0</v>
      </c>
      <c r="L25" s="21">
        <f>SUM(L11:L24)</f>
        <v>0</v>
      </c>
      <c r="M25" s="28"/>
      <c r="N25" s="371"/>
    </row>
    <row r="26" ht="13.95" spans="2:14">
      <c r="B26" s="366" t="s">
        <v>629</v>
      </c>
      <c r="C26" s="16"/>
      <c r="E26" s="365"/>
      <c r="F26" s="372"/>
      <c r="G26" s="28"/>
      <c r="H26" s="372"/>
      <c r="I26" s="28"/>
      <c r="J26" s="368"/>
      <c r="K26" s="28"/>
      <c r="L26" s="368"/>
      <c r="M26" s="365"/>
      <c r="N26" s="371"/>
    </row>
    <row r="27" ht="13.95" spans="2:14">
      <c r="B27" s="373" t="s">
        <v>630</v>
      </c>
      <c r="C27" s="374"/>
      <c r="D27" s="375"/>
      <c r="E27" s="27"/>
      <c r="F27" s="27"/>
      <c r="G27" s="365"/>
      <c r="H27" s="372"/>
      <c r="I27" s="365"/>
      <c r="K27" s="365"/>
      <c r="L27" s="372"/>
      <c r="M27" s="365"/>
      <c r="N27" s="371"/>
    </row>
    <row r="28" ht="13.95" spans="2:14">
      <c r="B28" s="26" t="s">
        <v>169</v>
      </c>
      <c r="C28" s="27">
        <f>SUM(C25,C26,C27)</f>
        <v>0</v>
      </c>
      <c r="D28" s="367">
        <f>SUM(D25,D26,D27)</f>
        <v>0</v>
      </c>
      <c r="E28" s="27"/>
      <c r="F28" s="27"/>
      <c r="G28" s="365">
        <f t="shared" ref="G28:H28" si="0">SUM(G25,G26,G27)</f>
        <v>0</v>
      </c>
      <c r="H28" s="372">
        <f t="shared" si="0"/>
        <v>0</v>
      </c>
      <c r="I28" s="27"/>
      <c r="J28" s="28"/>
      <c r="K28" s="371">
        <f t="shared" ref="K28:L28" si="1">SUM(K25,K26,K27)</f>
        <v>0</v>
      </c>
      <c r="L28" s="372">
        <f t="shared" si="1"/>
        <v>0</v>
      </c>
      <c r="M28" s="365"/>
      <c r="N28" s="371"/>
    </row>
    <row r="29" spans="2:14">
      <c r="B29" s="29" t="s">
        <v>631</v>
      </c>
    </row>
    <row r="30" spans="2:14">
      <c r="B30" s="138" t="s">
        <v>104</v>
      </c>
      <c r="C30" s="242"/>
      <c r="D30" s="243"/>
      <c r="E30" s="243"/>
      <c r="F30" s="244"/>
    </row>
    <row r="32" spans="2:14">
      <c r="B32" s="138" t="s">
        <v>105</v>
      </c>
    </row>
    <row r="34" spans="2:2">
      <c r="B34" s="34" t="s">
        <v>106</v>
      </c>
    </row>
    <row r="35" spans="2:2">
      <c r="B35" s="29" t="s">
        <v>107</v>
      </c>
    </row>
    <row r="36" spans="2:2">
      <c r="B36" s="35" t="s">
        <v>108</v>
      </c>
    </row>
    <row r="37" spans="2:2">
      <c r="B37" s="33"/>
    </row>
  </sheetData>
  <mergeCells count="9">
    <mergeCell ref="B3:N3"/>
    <mergeCell ref="B5:N5"/>
    <mergeCell ref="C6:N6"/>
    <mergeCell ref="C7:J7"/>
    <mergeCell ref="K7:N7"/>
    <mergeCell ref="C8:F8"/>
    <mergeCell ref="G8:J8"/>
    <mergeCell ref="K8:N8"/>
    <mergeCell ref="B6:B9"/>
  </mergeCells>
  <conditionalFormatting sqref="D30:E30">
    <cfRule type="containsText" dxfId="3" priority="1" operator="between" text="control">
      <formula>NOT(ISERROR(SEARCH("control",D30)))</formula>
    </cfRule>
  </conditionalFormatting>
  <pageMargins left="0.708661417322835" right="0.708661417322835" top="0.748031496062992" bottom="0.748031496062992" header="0.31496062992126" footer="0.31496062992126"/>
  <pageSetup paperSize="9" scale="80"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N37"/>
  <sheetViews>
    <sheetView zoomScale="75" zoomScaleNormal="75" workbookViewId="0">
      <selection activeCell="B36" sqref="B36"/>
    </sheetView>
  </sheetViews>
  <sheetFormatPr defaultColWidth="9.13888888888889" defaultRowHeight="13.2"/>
  <cols>
    <col min="1" max="1" width="2.85185185185185" style="21" customWidth="1"/>
    <col min="2" max="2" width="25.287037037037" style="21" customWidth="1"/>
    <col min="3" max="3" width="11.5740740740741" style="21" customWidth="1"/>
    <col min="4" max="4" width="11.712962962963" style="21" customWidth="1"/>
    <col min="5" max="5" width="7.71296296296296" style="21" customWidth="1"/>
    <col min="6" max="6" width="13.8518518518519" style="21" customWidth="1"/>
    <col min="7" max="7" width="11.5740740740741" style="21" customWidth="1"/>
    <col min="8" max="8" width="12.287037037037" style="21" customWidth="1"/>
    <col min="9" max="9" width="7.42592592592593" style="21" customWidth="1"/>
    <col min="10" max="10" width="14.1388888888889" style="21" customWidth="1"/>
    <col min="11" max="11" width="11.5740740740741" style="21" customWidth="1"/>
    <col min="12" max="12" width="13.712962962963" style="21" customWidth="1"/>
    <col min="13" max="13" width="8" style="21" customWidth="1"/>
    <col min="14" max="14" width="14" style="21" customWidth="1"/>
    <col min="15" max="15" width="3.57407407407407" style="21" customWidth="1"/>
    <col min="16" max="16384" width="9.13888888888889" style="21"/>
  </cols>
  <sheetData>
    <row r="1" ht="13.95"/>
    <row r="2" ht="13.8" spans="2:14">
      <c r="B2" s="3" t="s">
        <v>0</v>
      </c>
      <c r="C2" s="350"/>
      <c r="D2" s="350"/>
      <c r="E2" s="350"/>
      <c r="F2" s="350"/>
      <c r="G2" s="350"/>
      <c r="H2" s="350"/>
      <c r="I2" s="350"/>
      <c r="J2" s="350"/>
      <c r="K2" s="350"/>
      <c r="L2" s="350"/>
      <c r="M2" s="350"/>
      <c r="N2" s="39" t="s">
        <v>601</v>
      </c>
    </row>
    <row r="3" ht="13.8" spans="2:14">
      <c r="B3" s="40" t="s">
        <v>632</v>
      </c>
      <c r="C3" s="41"/>
      <c r="D3" s="41"/>
      <c r="E3" s="41"/>
      <c r="F3" s="41"/>
      <c r="G3" s="41"/>
      <c r="H3" s="41"/>
      <c r="I3" s="41"/>
      <c r="J3" s="41"/>
      <c r="K3" s="41"/>
      <c r="L3" s="41"/>
      <c r="M3" s="41"/>
      <c r="N3" s="42"/>
    </row>
    <row r="4" spans="2:14">
      <c r="B4" s="43"/>
      <c r="C4" s="44"/>
      <c r="D4" s="44"/>
      <c r="E4" s="44"/>
      <c r="F4" s="44"/>
      <c r="G4" s="44"/>
      <c r="H4" s="44"/>
      <c r="I4" s="44"/>
      <c r="J4" s="44"/>
      <c r="K4" s="44"/>
      <c r="L4" s="44"/>
      <c r="M4" s="44"/>
      <c r="N4" s="45"/>
    </row>
    <row r="5" ht="13.95" spans="2:14">
      <c r="B5" s="351" t="s">
        <v>633</v>
      </c>
      <c r="C5" s="352"/>
      <c r="D5" s="352"/>
      <c r="E5" s="352"/>
      <c r="F5" s="352"/>
      <c r="G5" s="352"/>
      <c r="H5" s="352"/>
      <c r="I5" s="352"/>
      <c r="J5" s="352"/>
      <c r="K5" s="352"/>
      <c r="L5" s="352"/>
      <c r="M5" s="352"/>
      <c r="N5" s="353"/>
    </row>
    <row r="6" ht="13.95" spans="2:14">
      <c r="B6" s="354" t="s">
        <v>421</v>
      </c>
      <c r="C6" s="244" t="s">
        <v>634</v>
      </c>
      <c r="D6" s="244"/>
      <c r="E6" s="244"/>
      <c r="F6" s="244"/>
      <c r="G6" s="244"/>
      <c r="H6" s="244"/>
      <c r="I6" s="244"/>
      <c r="J6" s="244"/>
      <c r="K6" s="244"/>
      <c r="L6" s="244"/>
      <c r="M6" s="244"/>
      <c r="N6" s="355"/>
    </row>
    <row r="7" ht="13.95" spans="2:14">
      <c r="B7" s="354"/>
      <c r="C7" s="356" t="s">
        <v>605</v>
      </c>
      <c r="D7" s="356"/>
      <c r="E7" s="356"/>
      <c r="F7" s="356"/>
      <c r="G7" s="356"/>
      <c r="H7" s="356"/>
      <c r="I7" s="356"/>
      <c r="J7" s="356"/>
      <c r="K7" s="357" t="s">
        <v>606</v>
      </c>
      <c r="L7" s="356"/>
      <c r="M7" s="356"/>
      <c r="N7" s="358"/>
    </row>
    <row r="8" ht="13.95" spans="2:14">
      <c r="B8" s="354"/>
      <c r="C8" s="356" t="s">
        <v>45</v>
      </c>
      <c r="D8" s="356"/>
      <c r="E8" s="356"/>
      <c r="F8" s="358"/>
      <c r="G8" s="356" t="s">
        <v>607</v>
      </c>
      <c r="H8" s="356"/>
      <c r="I8" s="356"/>
      <c r="J8" s="358"/>
      <c r="K8" s="356" t="s">
        <v>608</v>
      </c>
      <c r="L8" s="356"/>
      <c r="M8" s="356"/>
      <c r="N8" s="358"/>
    </row>
    <row r="9" s="349" customFormat="1" ht="27.15" spans="2:14">
      <c r="B9" s="359"/>
      <c r="C9" s="360" t="s">
        <v>609</v>
      </c>
      <c r="D9" s="361" t="s">
        <v>610</v>
      </c>
      <c r="E9" s="361" t="s">
        <v>611</v>
      </c>
      <c r="F9" s="361" t="s">
        <v>612</v>
      </c>
      <c r="G9" s="361" t="s">
        <v>609</v>
      </c>
      <c r="H9" s="361" t="s">
        <v>610</v>
      </c>
      <c r="I9" s="361" t="s">
        <v>611</v>
      </c>
      <c r="J9" s="361" t="s">
        <v>612</v>
      </c>
      <c r="K9" s="361" t="s">
        <v>609</v>
      </c>
      <c r="L9" s="361" t="s">
        <v>610</v>
      </c>
      <c r="M9" s="361" t="s">
        <v>611</v>
      </c>
      <c r="N9" s="362" t="s">
        <v>612</v>
      </c>
    </row>
    <row r="10" spans="2:14">
      <c r="B10" s="363" t="s">
        <v>613</v>
      </c>
      <c r="C10" s="364"/>
      <c r="D10" s="364"/>
      <c r="E10" s="22"/>
      <c r="G10" s="364"/>
      <c r="H10" s="22"/>
      <c r="J10" s="22"/>
      <c r="L10" s="364"/>
      <c r="M10" s="364"/>
      <c r="N10" s="22"/>
    </row>
    <row r="11" spans="2:14">
      <c r="B11" s="364" t="s">
        <v>614</v>
      </c>
      <c r="C11" s="364"/>
      <c r="D11" s="364"/>
      <c r="E11" s="22"/>
      <c r="G11" s="364"/>
      <c r="H11" s="22"/>
      <c r="J11" s="22"/>
      <c r="L11" s="364"/>
      <c r="M11" s="364"/>
      <c r="N11" s="22"/>
    </row>
    <row r="12" spans="2:14">
      <c r="B12" s="364" t="s">
        <v>615</v>
      </c>
      <c r="C12" s="364"/>
      <c r="D12" s="364"/>
      <c r="E12" s="22"/>
      <c r="G12" s="364"/>
      <c r="H12" s="22"/>
      <c r="J12" s="22"/>
      <c r="L12" s="364"/>
      <c r="M12" s="364"/>
      <c r="N12" s="22"/>
    </row>
    <row r="13" spans="2:14">
      <c r="B13" s="364" t="s">
        <v>616</v>
      </c>
      <c r="C13" s="364"/>
      <c r="D13" s="364"/>
      <c r="E13" s="22"/>
      <c r="G13" s="364"/>
      <c r="H13" s="22"/>
      <c r="J13" s="22"/>
      <c r="L13" s="364"/>
      <c r="M13" s="364"/>
      <c r="N13" s="22"/>
    </row>
    <row r="14" spans="2:14">
      <c r="B14" s="364" t="s">
        <v>617</v>
      </c>
      <c r="C14" s="364"/>
      <c r="D14" s="364"/>
      <c r="E14" s="22"/>
      <c r="G14" s="364"/>
      <c r="H14" s="22"/>
      <c r="J14" s="22"/>
      <c r="L14" s="364"/>
      <c r="M14" s="364"/>
      <c r="N14" s="22"/>
    </row>
    <row r="15" spans="2:14">
      <c r="B15" s="364" t="s">
        <v>618</v>
      </c>
      <c r="C15" s="364"/>
      <c r="D15" s="364"/>
      <c r="E15" s="22"/>
      <c r="G15" s="364"/>
      <c r="H15" s="22"/>
      <c r="J15" s="22"/>
      <c r="L15" s="364"/>
      <c r="M15" s="364"/>
      <c r="N15" s="22"/>
    </row>
    <row r="16" spans="2:14">
      <c r="B16" s="364" t="s">
        <v>619</v>
      </c>
      <c r="C16" s="364"/>
      <c r="D16" s="364"/>
      <c r="E16" s="22"/>
      <c r="G16" s="364"/>
      <c r="H16" s="22"/>
      <c r="J16" s="22"/>
      <c r="L16" s="364"/>
      <c r="M16" s="364"/>
      <c r="N16" s="22"/>
    </row>
    <row r="17" spans="2:14">
      <c r="B17" s="364" t="s">
        <v>620</v>
      </c>
      <c r="C17" s="364"/>
      <c r="D17" s="364"/>
      <c r="E17" s="22"/>
      <c r="G17" s="364"/>
      <c r="H17" s="22"/>
      <c r="J17" s="22"/>
      <c r="L17" s="364"/>
      <c r="M17" s="364"/>
      <c r="N17" s="22"/>
    </row>
    <row r="18" spans="2:14">
      <c r="B18" s="364" t="s">
        <v>621</v>
      </c>
      <c r="C18" s="364"/>
      <c r="D18" s="364"/>
      <c r="E18" s="22"/>
      <c r="G18" s="364"/>
      <c r="H18" s="22"/>
      <c r="J18" s="22"/>
      <c r="L18" s="364"/>
      <c r="M18" s="364"/>
      <c r="N18" s="22"/>
    </row>
    <row r="19" spans="2:14">
      <c r="B19" s="364" t="s">
        <v>622</v>
      </c>
      <c r="C19" s="364"/>
      <c r="D19" s="364"/>
      <c r="E19" s="22"/>
      <c r="G19" s="364"/>
      <c r="H19" s="22"/>
      <c r="J19" s="22"/>
      <c r="L19" s="364"/>
      <c r="M19" s="364"/>
      <c r="N19" s="22"/>
    </row>
    <row r="20" spans="2:14">
      <c r="B20" s="364" t="s">
        <v>623</v>
      </c>
      <c r="C20" s="364"/>
      <c r="D20" s="364"/>
      <c r="E20" s="22"/>
      <c r="G20" s="364"/>
      <c r="H20" s="22"/>
      <c r="J20" s="22"/>
      <c r="L20" s="364"/>
      <c r="M20" s="364"/>
      <c r="N20" s="22"/>
    </row>
    <row r="21" spans="2:14">
      <c r="B21" s="364" t="s">
        <v>624</v>
      </c>
      <c r="C21" s="364"/>
      <c r="D21" s="364"/>
      <c r="E21" s="22"/>
      <c r="G21" s="364"/>
      <c r="H21" s="22"/>
      <c r="J21" s="22"/>
      <c r="L21" s="364"/>
      <c r="M21" s="364"/>
      <c r="N21" s="22"/>
    </row>
    <row r="22" spans="2:14">
      <c r="B22" s="364" t="s">
        <v>625</v>
      </c>
      <c r="C22" s="364"/>
      <c r="D22" s="364"/>
      <c r="E22" s="22"/>
      <c r="G22" s="364"/>
      <c r="H22" s="22"/>
      <c r="J22" s="22"/>
      <c r="L22" s="364"/>
      <c r="M22" s="364"/>
      <c r="N22" s="22"/>
    </row>
    <row r="23" spans="2:14">
      <c r="B23" s="364" t="s">
        <v>626</v>
      </c>
      <c r="C23" s="364"/>
      <c r="D23" s="364"/>
      <c r="E23" s="22"/>
      <c r="G23" s="364"/>
      <c r="H23" s="22"/>
      <c r="J23" s="22"/>
      <c r="L23" s="364"/>
      <c r="M23" s="364"/>
      <c r="N23" s="22"/>
    </row>
    <row r="24" ht="13.95" spans="2:14">
      <c r="B24" s="364" t="s">
        <v>627</v>
      </c>
      <c r="C24" s="27"/>
      <c r="D24" s="364"/>
      <c r="E24" s="22"/>
      <c r="G24" s="364"/>
      <c r="H24" s="22"/>
      <c r="J24" s="365"/>
      <c r="L24" s="27"/>
      <c r="M24" s="364"/>
      <c r="N24" s="365"/>
    </row>
    <row r="25" ht="13.95" spans="2:14">
      <c r="B25" s="366" t="s">
        <v>628</v>
      </c>
      <c r="C25" s="364">
        <f>SUM(C11:C24)</f>
        <v>0</v>
      </c>
      <c r="D25" s="367">
        <f>SUM(D11:D24)</f>
        <v>0</v>
      </c>
      <c r="E25" s="28"/>
      <c r="F25" s="368"/>
      <c r="G25" s="369">
        <f>SUM(G11:G24)</f>
        <v>0</v>
      </c>
      <c r="H25" s="28">
        <f>SUM(H11:H24)</f>
        <v>0</v>
      </c>
      <c r="I25" s="370"/>
      <c r="K25" s="16">
        <f>SUM(K11:K24)</f>
        <v>0</v>
      </c>
      <c r="L25" s="21">
        <f>SUM(L11:L24)</f>
        <v>0</v>
      </c>
      <c r="M25" s="28"/>
      <c r="N25" s="371"/>
    </row>
    <row r="26" ht="13.95" spans="2:14">
      <c r="B26" s="366" t="s">
        <v>629</v>
      </c>
      <c r="C26" s="16"/>
      <c r="E26" s="365"/>
      <c r="F26" s="372"/>
      <c r="G26" s="28"/>
      <c r="H26" s="372"/>
      <c r="I26" s="28"/>
      <c r="J26" s="368"/>
      <c r="K26" s="28"/>
      <c r="L26" s="368"/>
      <c r="M26" s="365"/>
      <c r="N26" s="371"/>
    </row>
    <row r="27" ht="13.95" spans="2:14">
      <c r="B27" s="373" t="s">
        <v>630</v>
      </c>
      <c r="C27" s="374"/>
      <c r="D27" s="375"/>
      <c r="E27" s="27"/>
      <c r="F27" s="27"/>
      <c r="G27" s="365"/>
      <c r="H27" s="372"/>
      <c r="I27" s="365"/>
      <c r="K27" s="365"/>
      <c r="L27" s="372"/>
      <c r="M27" s="365"/>
      <c r="N27" s="371"/>
    </row>
    <row r="28" ht="13.95" spans="2:14">
      <c r="B28" s="26" t="s">
        <v>169</v>
      </c>
      <c r="C28" s="27">
        <f>SUM(C25:C27)</f>
        <v>0</v>
      </c>
      <c r="D28" s="367">
        <f>SUM(D25:D27)</f>
        <v>0</v>
      </c>
      <c r="E28" s="27"/>
      <c r="F28" s="27"/>
      <c r="G28" s="365">
        <f>SUM(G25:G27)</f>
        <v>0</v>
      </c>
      <c r="H28" s="372">
        <f>SUM(H25:H27)</f>
        <v>0</v>
      </c>
      <c r="I28" s="27"/>
      <c r="J28" s="28"/>
      <c r="K28" s="371">
        <f>SUM(K25:K27)</f>
        <v>0</v>
      </c>
      <c r="L28" s="372">
        <f>SUM(L25:L27)</f>
        <v>0</v>
      </c>
      <c r="M28" s="365"/>
      <c r="N28" s="371"/>
    </row>
    <row r="29" spans="2:14">
      <c r="B29" s="29" t="s">
        <v>631</v>
      </c>
    </row>
    <row r="30" spans="2:14">
      <c r="B30" s="138" t="s">
        <v>104</v>
      </c>
      <c r="C30" s="242"/>
      <c r="D30" s="243"/>
      <c r="E30" s="243"/>
      <c r="F30" s="244"/>
    </row>
    <row r="32" spans="2:14">
      <c r="B32" s="138" t="s">
        <v>105</v>
      </c>
    </row>
    <row r="34" spans="2:2">
      <c r="B34" s="34" t="s">
        <v>106</v>
      </c>
    </row>
    <row r="35" spans="2:2">
      <c r="B35" s="29" t="s">
        <v>107</v>
      </c>
    </row>
    <row r="36" spans="2:2">
      <c r="B36" s="35" t="s">
        <v>108</v>
      </c>
    </row>
    <row r="37" spans="2:2">
      <c r="B37" s="33"/>
    </row>
  </sheetData>
  <mergeCells count="10">
    <mergeCell ref="B3:N3"/>
    <mergeCell ref="B4:N4"/>
    <mergeCell ref="B5:N5"/>
    <mergeCell ref="C6:N6"/>
    <mergeCell ref="C7:J7"/>
    <mergeCell ref="K7:N7"/>
    <mergeCell ref="C8:F8"/>
    <mergeCell ref="G8:J8"/>
    <mergeCell ref="K8:N8"/>
    <mergeCell ref="B6:B9"/>
  </mergeCells>
  <conditionalFormatting sqref="D30:E30">
    <cfRule type="containsText" dxfId="3" priority="1" operator="between" text="control">
      <formula>NOT(ISERROR(SEARCH("control",D30)))</formula>
    </cfRule>
  </conditionalFormatting>
  <pageMargins left="0.708661417322835" right="0.708661417322835" top="0.748031496062992" bottom="0.748031496062992" header="0.31496062992126" footer="0.31496062992126"/>
  <pageSetup paperSize="9" scale="79"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32"/>
  <sheetViews>
    <sheetView showGridLines="0" zoomScale="75" zoomScaleNormal="75" workbookViewId="0">
      <selection activeCell="Q7" sqref="Q7:Q8"/>
    </sheetView>
  </sheetViews>
  <sheetFormatPr defaultColWidth="9.13888888888889" defaultRowHeight="17.25" customHeight="1"/>
  <cols>
    <col min="1" max="1" width="2" style="135" customWidth="1"/>
    <col min="2" max="2" width="37.8518518518519" style="135" customWidth="1"/>
    <col min="3" max="3" width="15.4259259259259" style="135" customWidth="1"/>
    <col min="4" max="4" width="15.1388888888889" style="135" customWidth="1"/>
    <col min="5" max="5" width="13.5740740740741" style="135" customWidth="1"/>
    <col min="6" max="6" width="15" style="135" customWidth="1"/>
    <col min="7" max="7" width="13.5740740740741" style="135" customWidth="1"/>
    <col min="8" max="8" width="15.4259259259259" style="135" customWidth="1"/>
    <col min="9" max="9" width="15" style="135" customWidth="1"/>
    <col min="10" max="10" width="13.5740740740741" style="135" customWidth="1"/>
    <col min="11" max="14" width="16" style="135" customWidth="1"/>
    <col min="15" max="15" width="19.4259259259259" style="135" customWidth="1"/>
    <col min="16" max="16" width="15.5740740740741" style="135" customWidth="1"/>
    <col min="17" max="17" width="15.4259259259259" style="135" customWidth="1"/>
    <col min="18" max="18" width="2" style="135" customWidth="1"/>
    <col min="19" max="16384" width="9.13888888888889" style="135"/>
  </cols>
  <sheetData>
    <row r="1" ht="13.95"/>
    <row r="2" ht="20.25" customHeight="1" spans="1:20">
      <c r="A2" s="191"/>
      <c r="B2" s="192" t="s">
        <v>0</v>
      </c>
      <c r="C2" s="246"/>
      <c r="D2" s="246"/>
      <c r="E2" s="246"/>
      <c r="F2" s="246"/>
      <c r="G2" s="246"/>
      <c r="H2" s="246"/>
      <c r="I2" s="246"/>
      <c r="J2" s="246"/>
      <c r="K2" s="246"/>
      <c r="L2" s="246"/>
      <c r="M2" s="246"/>
      <c r="N2" s="246"/>
      <c r="O2" s="246"/>
      <c r="P2" s="247"/>
      <c r="Q2" s="197" t="s">
        <v>635</v>
      </c>
      <c r="R2" s="191"/>
      <c r="T2" s="198"/>
    </row>
    <row r="3" ht="15.75" customHeight="1" spans="1:20">
      <c r="A3" s="191"/>
      <c r="B3" s="199" t="s">
        <v>636</v>
      </c>
      <c r="C3" s="84"/>
      <c r="D3" s="84"/>
      <c r="E3" s="84"/>
      <c r="F3" s="84"/>
      <c r="G3" s="84"/>
      <c r="H3" s="84"/>
      <c r="I3" s="84"/>
      <c r="J3" s="84"/>
      <c r="K3" s="84"/>
      <c r="L3" s="84"/>
      <c r="M3" s="84"/>
      <c r="N3" s="84"/>
      <c r="O3" s="84"/>
      <c r="P3" s="84"/>
      <c r="Q3" s="85"/>
      <c r="R3" s="191"/>
    </row>
    <row r="4" ht="14.4" spans="1:20">
      <c r="A4" s="191"/>
      <c r="B4" s="248" t="s">
        <v>637</v>
      </c>
      <c r="C4" s="249"/>
      <c r="D4" s="249"/>
      <c r="E4" s="249"/>
      <c r="F4" s="249"/>
      <c r="G4" s="249"/>
      <c r="H4" s="249"/>
      <c r="I4" s="249"/>
      <c r="J4" s="249"/>
      <c r="K4" s="249"/>
      <c r="L4" s="249"/>
      <c r="M4" s="249"/>
      <c r="N4" s="249"/>
      <c r="O4" s="249"/>
      <c r="P4" s="249"/>
      <c r="Q4" s="250"/>
      <c r="R4" s="191"/>
    </row>
    <row r="5" ht="15.15" spans="1:20">
      <c r="A5" s="191"/>
      <c r="B5" s="251"/>
      <c r="D5" s="189"/>
      <c r="E5" s="189"/>
      <c r="F5" s="189"/>
      <c r="G5" s="189"/>
      <c r="H5" s="189"/>
      <c r="I5" s="189"/>
      <c r="J5" s="189"/>
      <c r="K5" s="189"/>
      <c r="L5" s="189"/>
      <c r="M5" s="189"/>
      <c r="Q5" s="252"/>
      <c r="R5" s="191"/>
    </row>
    <row r="6" ht="15.15" spans="1:20">
      <c r="A6" s="191"/>
      <c r="B6" s="334"/>
      <c r="C6" s="335" t="s">
        <v>638</v>
      </c>
      <c r="D6" s="336"/>
      <c r="E6" s="336"/>
      <c r="F6" s="336"/>
      <c r="G6" s="336"/>
      <c r="H6" s="337"/>
      <c r="I6" s="335" t="s">
        <v>639</v>
      </c>
      <c r="J6" s="336"/>
      <c r="K6" s="336"/>
      <c r="L6" s="336"/>
      <c r="M6" s="336"/>
      <c r="N6" s="337"/>
      <c r="O6" s="338" t="s">
        <v>640</v>
      </c>
      <c r="P6" s="335" t="s">
        <v>641</v>
      </c>
      <c r="Q6" s="339"/>
      <c r="R6" s="191"/>
    </row>
    <row r="7" ht="24" customHeight="1" spans="1:20">
      <c r="A7" s="191"/>
      <c r="B7" s="93" t="s">
        <v>642</v>
      </c>
      <c r="C7" s="259" t="s">
        <v>643</v>
      </c>
      <c r="D7" s="259" t="s">
        <v>644</v>
      </c>
      <c r="E7" s="259" t="s">
        <v>645</v>
      </c>
      <c r="F7" s="259" t="s">
        <v>646</v>
      </c>
      <c r="G7" s="259" t="s">
        <v>647</v>
      </c>
      <c r="H7" s="259" t="s">
        <v>648</v>
      </c>
      <c r="I7" s="259" t="s">
        <v>649</v>
      </c>
      <c r="J7" s="259" t="s">
        <v>645</v>
      </c>
      <c r="K7" s="259" t="s">
        <v>650</v>
      </c>
      <c r="L7" s="259" t="s">
        <v>646</v>
      </c>
      <c r="M7" s="259" t="s">
        <v>647</v>
      </c>
      <c r="N7" s="259" t="s">
        <v>651</v>
      </c>
      <c r="O7" s="95"/>
      <c r="P7" s="261" t="s">
        <v>17</v>
      </c>
      <c r="Q7" s="261" t="s">
        <v>17</v>
      </c>
      <c r="R7" s="191"/>
    </row>
    <row r="8" ht="15.15" spans="1:20">
      <c r="A8" s="191"/>
      <c r="B8" s="340"/>
      <c r="C8" s="263"/>
      <c r="D8" s="263"/>
      <c r="E8" s="263"/>
      <c r="F8" s="263"/>
      <c r="G8" s="263"/>
      <c r="H8" s="263"/>
      <c r="I8" s="263"/>
      <c r="J8" s="263"/>
      <c r="K8" s="263"/>
      <c r="L8" s="263"/>
      <c r="M8" s="263"/>
      <c r="N8" s="263"/>
      <c r="O8" s="341"/>
      <c r="P8" s="265"/>
      <c r="Q8" s="265"/>
      <c r="R8" s="191"/>
    </row>
    <row r="9" customHeight="1" spans="1:20">
      <c r="A9" s="191"/>
      <c r="B9" s="342" t="s">
        <v>652</v>
      </c>
      <c r="C9" s="218"/>
      <c r="D9" s="218"/>
      <c r="E9" s="218"/>
      <c r="F9" s="217"/>
      <c r="G9" s="217"/>
      <c r="H9" s="267">
        <f>C9+D9-E9+F9+G9</f>
        <v>0</v>
      </c>
      <c r="I9" s="218"/>
      <c r="J9" s="218"/>
      <c r="K9" s="218"/>
      <c r="L9" s="217"/>
      <c r="M9" s="217"/>
      <c r="N9" s="267">
        <f>I9-J9+K9+L9+M9</f>
        <v>0</v>
      </c>
      <c r="O9" s="267"/>
      <c r="P9" s="267">
        <f>H9-N9+O9</f>
        <v>0</v>
      </c>
      <c r="Q9" s="222"/>
      <c r="R9" s="191"/>
    </row>
    <row r="10" ht="14.4" spans="1:20">
      <c r="A10" s="191"/>
      <c r="B10" s="268" t="s">
        <v>653</v>
      </c>
      <c r="C10" s="218"/>
      <c r="D10" s="218"/>
      <c r="E10" s="218"/>
      <c r="F10" s="217"/>
      <c r="G10" s="217"/>
      <c r="H10" s="267">
        <f t="shared" ref="H10:H22" si="0">C10+D10-E10+F10+G10</f>
        <v>0</v>
      </c>
      <c r="I10" s="218"/>
      <c r="J10" s="218"/>
      <c r="K10" s="218"/>
      <c r="L10" s="217"/>
      <c r="M10" s="217"/>
      <c r="N10" s="267">
        <f t="shared" ref="N10:N22" si="1">I10-J10+K10+L10+M10</f>
        <v>0</v>
      </c>
      <c r="O10" s="267"/>
      <c r="P10" s="267">
        <f t="shared" ref="P10:P22" si="2">H10-N10+O10</f>
        <v>0</v>
      </c>
      <c r="Q10" s="222"/>
      <c r="R10" s="191"/>
    </row>
    <row r="11" ht="14.4" spans="1:20">
      <c r="A11" s="191"/>
      <c r="B11" s="268" t="s">
        <v>654</v>
      </c>
      <c r="C11" s="218"/>
      <c r="D11" s="218"/>
      <c r="E11" s="218"/>
      <c r="F11" s="217"/>
      <c r="G11" s="217"/>
      <c r="H11" s="267">
        <f t="shared" si="0"/>
        <v>0</v>
      </c>
      <c r="I11" s="218"/>
      <c r="J11" s="218"/>
      <c r="K11" s="218"/>
      <c r="L11" s="217"/>
      <c r="M11" s="217"/>
      <c r="N11" s="267">
        <f t="shared" si="1"/>
        <v>0</v>
      </c>
      <c r="O11" s="267"/>
      <c r="P11" s="267">
        <f t="shared" si="2"/>
        <v>0</v>
      </c>
      <c r="Q11" s="222"/>
      <c r="R11" s="191"/>
    </row>
    <row r="12" ht="14.4" spans="1:20">
      <c r="A12" s="191"/>
      <c r="B12" s="268" t="s">
        <v>655</v>
      </c>
      <c r="C12" s="218"/>
      <c r="D12" s="218"/>
      <c r="E12" s="218"/>
      <c r="F12" s="217"/>
      <c r="G12" s="217"/>
      <c r="H12" s="267">
        <f t="shared" si="0"/>
        <v>0</v>
      </c>
      <c r="I12" s="218"/>
      <c r="J12" s="218"/>
      <c r="K12" s="218"/>
      <c r="L12" s="217"/>
      <c r="M12" s="217"/>
      <c r="N12" s="267">
        <f t="shared" si="1"/>
        <v>0</v>
      </c>
      <c r="O12" s="267"/>
      <c r="P12" s="267">
        <f t="shared" si="2"/>
        <v>0</v>
      </c>
      <c r="Q12" s="222"/>
      <c r="R12" s="191"/>
    </row>
    <row r="13" ht="14.4" spans="1:20">
      <c r="A13" s="191"/>
      <c r="B13" s="268" t="s">
        <v>656</v>
      </c>
      <c r="C13" s="218"/>
      <c r="D13" s="218"/>
      <c r="E13" s="218"/>
      <c r="F13" s="217"/>
      <c r="G13" s="217"/>
      <c r="H13" s="267">
        <f t="shared" si="0"/>
        <v>0</v>
      </c>
      <c r="I13" s="218"/>
      <c r="J13" s="218"/>
      <c r="K13" s="218"/>
      <c r="L13" s="217"/>
      <c r="M13" s="217"/>
      <c r="N13" s="267">
        <f t="shared" si="1"/>
        <v>0</v>
      </c>
      <c r="O13" s="267"/>
      <c r="P13" s="267">
        <f t="shared" si="2"/>
        <v>0</v>
      </c>
      <c r="Q13" s="222"/>
      <c r="R13" s="191"/>
    </row>
    <row r="14" ht="14.4" spans="1:20">
      <c r="A14" s="191"/>
      <c r="B14" s="268" t="s">
        <v>657</v>
      </c>
      <c r="C14" s="218"/>
      <c r="D14" s="218"/>
      <c r="E14" s="218"/>
      <c r="F14" s="217"/>
      <c r="G14" s="217"/>
      <c r="H14" s="267">
        <f t="shared" si="0"/>
        <v>0</v>
      </c>
      <c r="I14" s="218"/>
      <c r="J14" s="218"/>
      <c r="K14" s="218"/>
      <c r="L14" s="217"/>
      <c r="M14" s="217"/>
      <c r="N14" s="267">
        <f t="shared" si="1"/>
        <v>0</v>
      </c>
      <c r="O14" s="267"/>
      <c r="P14" s="267">
        <f t="shared" si="2"/>
        <v>0</v>
      </c>
      <c r="Q14" s="222"/>
      <c r="R14" s="191"/>
    </row>
    <row r="15" ht="14.4" spans="1:20">
      <c r="A15" s="191"/>
      <c r="B15" s="268" t="s">
        <v>658</v>
      </c>
      <c r="C15" s="218"/>
      <c r="D15" s="218"/>
      <c r="E15" s="218"/>
      <c r="F15" s="217"/>
      <c r="G15" s="217"/>
      <c r="H15" s="267">
        <f t="shared" si="0"/>
        <v>0</v>
      </c>
      <c r="I15" s="218"/>
      <c r="J15" s="218"/>
      <c r="K15" s="218"/>
      <c r="L15" s="217"/>
      <c r="M15" s="217"/>
      <c r="N15" s="267">
        <f t="shared" si="1"/>
        <v>0</v>
      </c>
      <c r="O15" s="267"/>
      <c r="P15" s="267">
        <f t="shared" si="2"/>
        <v>0</v>
      </c>
      <c r="Q15" s="222"/>
      <c r="R15" s="191"/>
    </row>
    <row r="16" ht="14.4" spans="1:20">
      <c r="A16" s="191"/>
      <c r="B16" s="268" t="s">
        <v>659</v>
      </c>
      <c r="C16" s="218"/>
      <c r="D16" s="218"/>
      <c r="E16" s="218"/>
      <c r="F16" s="217"/>
      <c r="G16" s="217"/>
      <c r="H16" s="267">
        <f t="shared" si="0"/>
        <v>0</v>
      </c>
      <c r="I16" s="218"/>
      <c r="J16" s="218"/>
      <c r="K16" s="218"/>
      <c r="L16" s="217"/>
      <c r="M16" s="217"/>
      <c r="N16" s="267">
        <f t="shared" si="1"/>
        <v>0</v>
      </c>
      <c r="O16" s="267"/>
      <c r="P16" s="267">
        <f t="shared" si="2"/>
        <v>0</v>
      </c>
      <c r="Q16" s="222"/>
      <c r="R16" s="191"/>
    </row>
    <row r="17" ht="26.4" spans="1:18">
      <c r="A17" s="191"/>
      <c r="B17" s="343" t="s">
        <v>660</v>
      </c>
      <c r="C17" s="218"/>
      <c r="D17" s="218"/>
      <c r="E17" s="218"/>
      <c r="F17" s="217"/>
      <c r="G17" s="217"/>
      <c r="H17" s="267">
        <f t="shared" si="0"/>
        <v>0</v>
      </c>
      <c r="I17" s="218"/>
      <c r="J17" s="218"/>
      <c r="K17" s="218"/>
      <c r="L17" s="217"/>
      <c r="M17" s="217"/>
      <c r="N17" s="267">
        <f t="shared" si="1"/>
        <v>0</v>
      </c>
      <c r="O17" s="267"/>
      <c r="P17" s="267">
        <f t="shared" si="2"/>
        <v>0</v>
      </c>
      <c r="Q17" s="222"/>
      <c r="R17" s="191"/>
    </row>
    <row r="18" ht="26.4" spans="1:18">
      <c r="A18" s="191"/>
      <c r="B18" s="343" t="s">
        <v>661</v>
      </c>
      <c r="C18" s="218"/>
      <c r="D18" s="218"/>
      <c r="E18" s="218"/>
      <c r="F18" s="217"/>
      <c r="G18" s="217"/>
      <c r="H18" s="267">
        <f t="shared" si="0"/>
        <v>0</v>
      </c>
      <c r="I18" s="218"/>
      <c r="J18" s="218"/>
      <c r="K18" s="218"/>
      <c r="L18" s="217"/>
      <c r="M18" s="217"/>
      <c r="N18" s="267">
        <f t="shared" si="1"/>
        <v>0</v>
      </c>
      <c r="O18" s="267"/>
      <c r="P18" s="267">
        <f t="shared" si="2"/>
        <v>0</v>
      </c>
      <c r="Q18" s="222"/>
      <c r="R18" s="191"/>
    </row>
    <row r="19" ht="26.4" spans="1:18">
      <c r="A19" s="191"/>
      <c r="B19" s="343" t="s">
        <v>662</v>
      </c>
      <c r="C19" s="218"/>
      <c r="D19" s="218"/>
      <c r="E19" s="218"/>
      <c r="F19" s="217"/>
      <c r="G19" s="217"/>
      <c r="H19" s="267">
        <f t="shared" si="0"/>
        <v>0</v>
      </c>
      <c r="I19" s="218"/>
      <c r="J19" s="218"/>
      <c r="K19" s="218"/>
      <c r="L19" s="217"/>
      <c r="M19" s="217"/>
      <c r="N19" s="267">
        <f t="shared" si="1"/>
        <v>0</v>
      </c>
      <c r="O19" s="267"/>
      <c r="P19" s="267">
        <f t="shared" si="2"/>
        <v>0</v>
      </c>
      <c r="Q19" s="222"/>
      <c r="R19" s="191"/>
    </row>
    <row r="20" ht="15.15" spans="1:18">
      <c r="A20" s="191"/>
      <c r="B20" s="268" t="s">
        <v>663</v>
      </c>
      <c r="C20" s="218"/>
      <c r="D20" s="218"/>
      <c r="E20" s="218"/>
      <c r="F20" s="217"/>
      <c r="G20" s="217"/>
      <c r="H20" s="267">
        <f t="shared" si="0"/>
        <v>0</v>
      </c>
      <c r="I20" s="218"/>
      <c r="J20" s="218"/>
      <c r="K20" s="218"/>
      <c r="L20" s="217"/>
      <c r="M20" s="217"/>
      <c r="N20" s="267">
        <f t="shared" si="1"/>
        <v>0</v>
      </c>
      <c r="O20" s="267"/>
      <c r="P20" s="267">
        <f t="shared" si="2"/>
        <v>0</v>
      </c>
      <c r="Q20" s="222"/>
      <c r="R20" s="191"/>
    </row>
    <row r="21" s="21" customFormat="1" ht="15.15" spans="1:18">
      <c r="A21" s="310"/>
      <c r="B21" s="344" t="s">
        <v>664</v>
      </c>
      <c r="C21" s="344">
        <f>SUM(C9:C20)</f>
        <v>0</v>
      </c>
      <c r="D21" s="344">
        <f t="shared" ref="D21:G21" si="3">SUM(D9:D20)</f>
        <v>0</v>
      </c>
      <c r="E21" s="344">
        <f t="shared" si="3"/>
        <v>0</v>
      </c>
      <c r="F21" s="344">
        <f t="shared" si="3"/>
        <v>0</v>
      </c>
      <c r="G21" s="344">
        <f t="shared" si="3"/>
        <v>0</v>
      </c>
      <c r="H21" s="344">
        <f t="shared" si="0"/>
        <v>0</v>
      </c>
      <c r="I21" s="344">
        <f t="shared" ref="I21:M21" si="4">SUM(I9:I20)</f>
        <v>0</v>
      </c>
      <c r="J21" s="344">
        <f t="shared" si="4"/>
        <v>0</v>
      </c>
      <c r="K21" s="344">
        <f t="shared" si="4"/>
        <v>0</v>
      </c>
      <c r="L21" s="344">
        <f t="shared" si="4"/>
        <v>0</v>
      </c>
      <c r="M21" s="344">
        <f t="shared" si="4"/>
        <v>0</v>
      </c>
      <c r="N21" s="344">
        <f t="shared" si="1"/>
        <v>0</v>
      </c>
      <c r="O21" s="344">
        <f>SUM(O9:O20)</f>
        <v>0</v>
      </c>
      <c r="P21" s="344">
        <f t="shared" si="2"/>
        <v>0</v>
      </c>
      <c r="Q21" s="345">
        <f>SUM(Q9:Q20)</f>
        <v>0</v>
      </c>
      <c r="R21" s="310"/>
    </row>
    <row r="22" s="21" customFormat="1" ht="15.15" spans="1:18">
      <c r="A22" s="310"/>
      <c r="B22" s="346" t="s">
        <v>665</v>
      </c>
      <c r="C22" s="319"/>
      <c r="D22" s="319"/>
      <c r="E22" s="319"/>
      <c r="F22" s="319"/>
      <c r="G22" s="319"/>
      <c r="H22" s="319">
        <f t="shared" si="0"/>
        <v>0</v>
      </c>
      <c r="I22" s="319"/>
      <c r="J22" s="319"/>
      <c r="K22" s="319"/>
      <c r="L22" s="319"/>
      <c r="M22" s="319"/>
      <c r="N22" s="319">
        <f t="shared" si="1"/>
        <v>0</v>
      </c>
      <c r="O22" s="319"/>
      <c r="P22" s="347">
        <f t="shared" si="2"/>
        <v>0</v>
      </c>
      <c r="Q22" s="348"/>
      <c r="R22" s="310"/>
    </row>
    <row r="23" ht="13.2"/>
    <row r="24" s="21" customFormat="1" ht="13.2" spans="1:18">
      <c r="B24" s="138" t="s">
        <v>104</v>
      </c>
      <c r="C24" s="242"/>
      <c r="D24" s="243"/>
      <c r="E24" s="243"/>
      <c r="F24" s="244"/>
    </row>
    <row r="25" s="21" customFormat="1" ht="13.2" spans="1:18">
      <c r="B25" s="138"/>
      <c r="C25" s="242"/>
      <c r="D25" s="243"/>
      <c r="E25" s="243"/>
      <c r="F25" s="244"/>
    </row>
    <row r="26" ht="13.2" spans="1:18">
      <c r="B26" s="138" t="s">
        <v>105</v>
      </c>
      <c r="C26" s="138"/>
      <c r="D26" s="138"/>
      <c r="E26" s="138"/>
      <c r="P26" s="321"/>
    </row>
    <row r="27" ht="13.2" spans="1:18">
      <c r="B27" s="21"/>
      <c r="C27" s="21"/>
      <c r="D27" s="21"/>
      <c r="E27" s="21"/>
    </row>
    <row r="28" ht="13.2" spans="1:18">
      <c r="B28" s="34" t="s">
        <v>106</v>
      </c>
      <c r="C28" s="21"/>
      <c r="D28" s="21"/>
      <c r="E28" s="21"/>
    </row>
    <row r="29" ht="13.2" spans="1:18">
      <c r="B29" s="29" t="s">
        <v>107</v>
      </c>
      <c r="C29" s="21"/>
      <c r="D29" s="21"/>
      <c r="E29" s="21"/>
    </row>
    <row r="30" ht="13.2" spans="1:18">
      <c r="B30" s="35" t="s">
        <v>108</v>
      </c>
      <c r="C30" s="190"/>
      <c r="D30" s="190"/>
      <c r="E30" s="190"/>
    </row>
    <row r="31" customHeight="1" spans="1:18">
      <c r="B31" s="33"/>
      <c r="C31" s="33"/>
      <c r="D31" s="33"/>
      <c r="E31" s="33"/>
    </row>
    <row r="32" customHeight="1" spans="1:18">
      <c r="B32" s="21"/>
      <c r="C32" s="21"/>
      <c r="D32" s="21"/>
      <c r="E32" s="21"/>
    </row>
  </sheetData>
  <mergeCells count="20">
    <mergeCell ref="B3:Q3"/>
    <mergeCell ref="B4:Q4"/>
    <mergeCell ref="C6:H6"/>
    <mergeCell ref="I6:N6"/>
    <mergeCell ref="P6:Q6"/>
    <mergeCell ref="C7:C8"/>
    <mergeCell ref="D7:D8"/>
    <mergeCell ref="E7:E8"/>
    <mergeCell ref="F7:F8"/>
    <mergeCell ref="G7:G8"/>
    <mergeCell ref="H7:H8"/>
    <mergeCell ref="I7:I8"/>
    <mergeCell ref="J7:J8"/>
    <mergeCell ref="K7:K8"/>
    <mergeCell ref="L7:L8"/>
    <mergeCell ref="M7:M8"/>
    <mergeCell ref="N7:N8"/>
    <mergeCell ref="O6:O8"/>
    <mergeCell ref="P7:P8"/>
    <mergeCell ref="Q7:Q8"/>
  </mergeCells>
  <conditionalFormatting sqref="D24:E25">
    <cfRule type="containsText" dxfId="3" priority="1" operator="between" text="control">
      <formula>NOT(ISERROR(SEARCH("control",D24)))</formula>
    </cfRule>
  </conditionalFormatting>
  <pageMargins left="0.25" right="0.25" top="0.75" bottom="0.75" header="0.3" footer="0.3"/>
  <pageSetup paperSize="9" scale="53"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27"/>
  <sheetViews>
    <sheetView showGridLines="0" zoomScale="75" zoomScaleNormal="75" workbookViewId="0">
      <selection activeCell="F26" sqref="F26"/>
    </sheetView>
  </sheetViews>
  <sheetFormatPr defaultColWidth="9.13888888888889" defaultRowHeight="17.25" customHeight="1"/>
  <cols>
    <col min="1" max="1" width="2" style="135" customWidth="1"/>
    <col min="2" max="2" width="37.8518518518519" style="135" customWidth="1"/>
    <col min="3" max="3" width="15.4259259259259" style="135" customWidth="1"/>
    <col min="4" max="4" width="15.1388888888889" style="135" customWidth="1"/>
    <col min="5" max="5" width="13.5740740740741" style="135" customWidth="1"/>
    <col min="6" max="6" width="15" style="135" customWidth="1"/>
    <col min="7" max="8" width="13.5740740740741" style="135" customWidth="1"/>
    <col min="9" max="9" width="19" style="135" customWidth="1"/>
    <col min="10" max="10" width="18.4259259259259" style="135" customWidth="1"/>
    <col min="11" max="11" width="2" style="135" customWidth="1"/>
    <col min="12" max="16384" width="9.13888888888889" style="135"/>
  </cols>
  <sheetData>
    <row r="1" ht="13.95" spans="1:13">
      <c r="B1" s="275"/>
      <c r="C1" s="275"/>
      <c r="D1" s="275"/>
      <c r="E1" s="275"/>
      <c r="F1" s="275"/>
      <c r="G1" s="275"/>
      <c r="H1" s="275"/>
      <c r="I1" s="275"/>
      <c r="J1" s="275"/>
    </row>
    <row r="2" ht="20.25" customHeight="1" spans="1:13">
      <c r="A2" s="271"/>
      <c r="B2" s="276" t="s">
        <v>0</v>
      </c>
      <c r="C2" s="246"/>
      <c r="D2" s="246"/>
      <c r="E2" s="246"/>
      <c r="F2" s="246"/>
      <c r="G2" s="246"/>
      <c r="H2" s="246"/>
      <c r="I2" s="247"/>
      <c r="J2" s="277" t="s">
        <v>666</v>
      </c>
      <c r="K2" s="278"/>
      <c r="M2" s="198"/>
    </row>
    <row r="3" ht="15.75" customHeight="1" spans="1:13">
      <c r="A3" s="271"/>
      <c r="B3" s="279" t="s">
        <v>667</v>
      </c>
      <c r="C3" s="84"/>
      <c r="D3" s="84"/>
      <c r="E3" s="84"/>
      <c r="F3" s="84"/>
      <c r="G3" s="84"/>
      <c r="H3" s="84"/>
      <c r="I3" s="84"/>
      <c r="J3" s="85"/>
      <c r="K3" s="278"/>
    </row>
    <row r="4" ht="14.4" spans="1:13">
      <c r="A4" s="271"/>
      <c r="B4" s="248" t="s">
        <v>274</v>
      </c>
      <c r="C4" s="249"/>
      <c r="D4" s="249"/>
      <c r="E4" s="249"/>
      <c r="F4" s="249"/>
      <c r="G4" s="249"/>
      <c r="H4" s="249"/>
      <c r="I4" s="249"/>
      <c r="J4" s="250"/>
      <c r="K4" s="278"/>
    </row>
    <row r="5" ht="15.15" spans="1:13">
      <c r="A5" s="271"/>
      <c r="B5" s="251"/>
      <c r="D5" s="189"/>
      <c r="E5" s="189"/>
      <c r="F5" s="189"/>
      <c r="G5" s="189"/>
      <c r="H5" s="189"/>
      <c r="J5" s="252"/>
      <c r="K5" s="278"/>
    </row>
    <row r="6" ht="15.15" spans="1:13">
      <c r="A6" s="191"/>
      <c r="B6" s="280"/>
      <c r="C6" s="322" t="s">
        <v>668</v>
      </c>
      <c r="D6" s="322" t="s">
        <v>669</v>
      </c>
      <c r="E6" s="322" t="s">
        <v>670</v>
      </c>
      <c r="F6" s="322" t="s">
        <v>646</v>
      </c>
      <c r="G6" s="322" t="s">
        <v>671</v>
      </c>
      <c r="H6" s="322" t="s">
        <v>672</v>
      </c>
      <c r="I6" s="287" t="s">
        <v>673</v>
      </c>
      <c r="J6" s="289"/>
      <c r="K6" s="191"/>
    </row>
    <row r="7" ht="15" customHeight="1" spans="1:13">
      <c r="A7" s="191"/>
      <c r="B7" s="290" t="s">
        <v>642</v>
      </c>
      <c r="C7" s="293"/>
      <c r="D7" s="293"/>
      <c r="E7" s="293"/>
      <c r="F7" s="293"/>
      <c r="G7" s="293"/>
      <c r="H7" s="293"/>
      <c r="I7" s="323" t="s">
        <v>17</v>
      </c>
      <c r="J7" s="296" t="s">
        <v>17</v>
      </c>
      <c r="K7" s="191"/>
    </row>
    <row r="8" ht="15.15" spans="1:13">
      <c r="A8" s="191"/>
      <c r="B8" s="299"/>
      <c r="C8" s="300"/>
      <c r="D8" s="324"/>
      <c r="E8" s="300"/>
      <c r="F8" s="324"/>
      <c r="G8" s="300"/>
      <c r="H8" s="324"/>
      <c r="I8" s="325"/>
      <c r="J8" s="303"/>
      <c r="K8" s="191"/>
    </row>
    <row r="9" customHeight="1" spans="1:13">
      <c r="A9" s="271"/>
      <c r="B9" s="326" t="s">
        <v>652</v>
      </c>
      <c r="C9" s="217"/>
      <c r="D9" s="306"/>
      <c r="E9" s="220"/>
      <c r="F9" s="306"/>
      <c r="G9" s="220"/>
      <c r="H9" s="306"/>
      <c r="I9" s="327">
        <f>C9+D9-E9+F9+G9+H9</f>
        <v>0</v>
      </c>
      <c r="J9" s="267"/>
      <c r="K9" s="278"/>
    </row>
    <row r="10" ht="14.4" spans="1:13">
      <c r="A10" s="271"/>
      <c r="B10" s="326" t="s">
        <v>653</v>
      </c>
      <c r="C10" s="217"/>
      <c r="D10" s="308"/>
      <c r="E10" s="220"/>
      <c r="F10" s="308"/>
      <c r="G10" s="220"/>
      <c r="H10" s="308"/>
      <c r="I10" s="327">
        <f t="shared" ref="I10:I15" si="0">C10+D10-E10+F10+G10+H10</f>
        <v>0</v>
      </c>
      <c r="J10" s="267"/>
      <c r="K10" s="278"/>
    </row>
    <row r="11" ht="14.4" spans="1:13">
      <c r="A11" s="271"/>
      <c r="B11" s="326" t="s">
        <v>674</v>
      </c>
      <c r="C11" s="217"/>
      <c r="D11" s="308"/>
      <c r="E11" s="220"/>
      <c r="F11" s="308"/>
      <c r="G11" s="220"/>
      <c r="H11" s="308"/>
      <c r="I11" s="327">
        <f t="shared" si="0"/>
        <v>0</v>
      </c>
      <c r="J11" s="267"/>
      <c r="K11" s="278"/>
    </row>
    <row r="12" ht="26.4" spans="1:13">
      <c r="A12" s="271"/>
      <c r="B12" s="326" t="s">
        <v>661</v>
      </c>
      <c r="C12" s="217"/>
      <c r="D12" s="308"/>
      <c r="E12" s="220"/>
      <c r="F12" s="308"/>
      <c r="G12" s="220"/>
      <c r="H12" s="308"/>
      <c r="I12" s="327">
        <f t="shared" si="0"/>
        <v>0</v>
      </c>
      <c r="J12" s="267"/>
      <c r="K12" s="278"/>
    </row>
    <row r="13" ht="14.4" spans="1:13">
      <c r="A13" s="271"/>
      <c r="B13" s="326" t="s">
        <v>675</v>
      </c>
      <c r="C13" s="217"/>
      <c r="D13" s="308"/>
      <c r="E13" s="220"/>
      <c r="F13" s="308"/>
      <c r="G13" s="220"/>
      <c r="H13" s="308"/>
      <c r="I13" s="327">
        <f t="shared" si="0"/>
        <v>0</v>
      </c>
      <c r="J13" s="267"/>
      <c r="K13" s="278"/>
    </row>
    <row r="14" ht="26.4" spans="1:13">
      <c r="A14" s="271"/>
      <c r="B14" s="326" t="s">
        <v>676</v>
      </c>
      <c r="C14" s="217"/>
      <c r="D14" s="308"/>
      <c r="E14" s="220"/>
      <c r="F14" s="308"/>
      <c r="G14" s="220"/>
      <c r="H14" s="308"/>
      <c r="I14" s="327">
        <f t="shared" si="0"/>
        <v>0</v>
      </c>
      <c r="J14" s="267"/>
      <c r="K14" s="278"/>
    </row>
    <row r="15" ht="15.15" spans="1:13">
      <c r="A15" s="271"/>
      <c r="B15" s="328" t="s">
        <v>677</v>
      </c>
      <c r="C15" s="217"/>
      <c r="D15" s="329"/>
      <c r="E15" s="220"/>
      <c r="F15" s="329"/>
      <c r="G15" s="220"/>
      <c r="H15" s="329"/>
      <c r="I15" s="327">
        <f t="shared" si="0"/>
        <v>0</v>
      </c>
      <c r="J15" s="267"/>
      <c r="K15" s="278"/>
    </row>
    <row r="16" s="21" customFormat="1" ht="15.15" spans="1:13">
      <c r="A16" s="310"/>
      <c r="B16" s="330" t="s">
        <v>664</v>
      </c>
      <c r="C16" s="312">
        <f>SUM(C9:C15)</f>
        <v>0</v>
      </c>
      <c r="D16" s="319">
        <f t="shared" ref="D16:J16" si="1">SUM(D9:D15)</f>
        <v>0</v>
      </c>
      <c r="E16" s="312">
        <f t="shared" si="1"/>
        <v>0</v>
      </c>
      <c r="F16" s="319">
        <f t="shared" si="1"/>
        <v>0</v>
      </c>
      <c r="G16" s="312">
        <f t="shared" si="1"/>
        <v>0</v>
      </c>
      <c r="H16" s="319">
        <f t="shared" si="1"/>
        <v>0</v>
      </c>
      <c r="I16" s="312">
        <f t="shared" si="1"/>
        <v>0</v>
      </c>
      <c r="J16" s="314">
        <f t="shared" si="1"/>
        <v>0</v>
      </c>
      <c r="K16" s="310"/>
    </row>
    <row r="17" s="21" customFormat="1" ht="15.15" spans="1:11">
      <c r="A17" s="310"/>
      <c r="B17" s="314" t="s">
        <v>678</v>
      </c>
      <c r="C17" s="331"/>
      <c r="D17" s="332"/>
      <c r="E17" s="332"/>
      <c r="F17" s="332"/>
      <c r="G17" s="332"/>
      <c r="H17" s="332"/>
      <c r="I17" s="333">
        <f>SUM(C17:H17)</f>
        <v>0</v>
      </c>
      <c r="J17" s="320"/>
      <c r="K17" s="310"/>
    </row>
    <row r="18" ht="13.2"/>
    <row r="19" s="21" customFormat="1" ht="13.2" spans="1:11">
      <c r="B19" s="138" t="s">
        <v>104</v>
      </c>
      <c r="C19" s="242"/>
      <c r="D19" s="243"/>
      <c r="E19" s="243"/>
      <c r="F19" s="244"/>
    </row>
    <row r="20" s="21" customFormat="1" ht="13.2" spans="1:11">
      <c r="B20" s="138"/>
      <c r="C20" s="242"/>
      <c r="D20" s="243"/>
      <c r="E20" s="243"/>
      <c r="F20" s="244"/>
    </row>
    <row r="21" ht="13.2" spans="1:11">
      <c r="B21" s="138" t="s">
        <v>105</v>
      </c>
      <c r="I21" s="321"/>
    </row>
    <row r="22" ht="13.2" spans="1:11">
      <c r="B22" s="21"/>
    </row>
    <row r="23" ht="13.2" spans="1:11">
      <c r="B23" s="34" t="s">
        <v>106</v>
      </c>
    </row>
    <row r="24" ht="13.2" spans="1:11">
      <c r="B24" s="29" t="s">
        <v>107</v>
      </c>
    </row>
    <row r="25" ht="13.2" spans="1:11">
      <c r="B25" s="35" t="s">
        <v>108</v>
      </c>
    </row>
    <row r="26" customHeight="1" spans="1:11">
      <c r="B26" s="33"/>
    </row>
    <row r="27" customHeight="1" spans="1:11">
      <c r="B27" s="21"/>
    </row>
  </sheetData>
  <mergeCells count="11">
    <mergeCell ref="B3:J3"/>
    <mergeCell ref="B4:J4"/>
    <mergeCell ref="I6:J6"/>
    <mergeCell ref="C6:C8"/>
    <mergeCell ref="D6:D8"/>
    <mergeCell ref="E6:E8"/>
    <mergeCell ref="F6:F8"/>
    <mergeCell ref="G6:G8"/>
    <mergeCell ref="H6:H8"/>
    <mergeCell ref="I7:I8"/>
    <mergeCell ref="J7:J8"/>
  </mergeCells>
  <conditionalFormatting sqref="D19:E20">
    <cfRule type="containsText" dxfId="3" priority="1" operator="between" text="control">
      <formula>NOT(ISERROR(SEARCH("control",D19)))</formula>
    </cfRule>
  </conditionalFormatting>
  <pageMargins left="0.25" right="0.25" top="0.75" bottom="0.75" header="0.3" footer="0.3"/>
  <pageSetup paperSize="9" scale="88"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7"/>
  <sheetViews>
    <sheetView showGridLines="0" zoomScale="75" zoomScaleNormal="75" workbookViewId="0">
      <selection activeCell="B1" sqref="B1"/>
    </sheetView>
  </sheetViews>
  <sheetFormatPr defaultColWidth="9.13888888888889" defaultRowHeight="17.25" customHeight="1"/>
  <cols>
    <col min="1" max="1" width="2" style="135" customWidth="1"/>
    <col min="2" max="2" width="37.8518518518519" style="135" customWidth="1"/>
    <col min="3" max="3" width="15.4259259259259" style="135" customWidth="1"/>
    <col min="4" max="4" width="15.1388888888889" style="135" customWidth="1"/>
    <col min="5" max="5" width="13.5740740740741" style="135" customWidth="1"/>
    <col min="6" max="7" width="15" style="135" customWidth="1"/>
    <col min="8" max="10" width="18" style="135" customWidth="1"/>
    <col min="11" max="11" width="19" style="135" customWidth="1"/>
    <col min="12" max="12" width="18.4259259259259" style="135" customWidth="1"/>
    <col min="13" max="13" width="2" style="135" customWidth="1"/>
    <col min="14" max="16384" width="9.13888888888889" style="135"/>
  </cols>
  <sheetData>
    <row r="1" ht="13.95" spans="1:15">
      <c r="B1" s="275"/>
      <c r="C1" s="275"/>
      <c r="D1" s="275"/>
      <c r="E1" s="275"/>
      <c r="F1" s="275"/>
      <c r="G1" s="275"/>
      <c r="H1" s="275"/>
      <c r="I1" s="275"/>
      <c r="J1" s="275"/>
      <c r="K1" s="275"/>
      <c r="L1" s="275"/>
    </row>
    <row r="2" ht="20.25" customHeight="1" spans="1:15">
      <c r="A2" s="271"/>
      <c r="B2" s="276" t="s">
        <v>0</v>
      </c>
      <c r="C2" s="246"/>
      <c r="D2" s="246"/>
      <c r="E2" s="246"/>
      <c r="F2" s="246"/>
      <c r="G2" s="246"/>
      <c r="H2" s="246"/>
      <c r="I2" s="246"/>
      <c r="J2" s="246"/>
      <c r="K2" s="247"/>
      <c r="L2" s="277" t="s">
        <v>666</v>
      </c>
      <c r="M2" s="278"/>
      <c r="O2" s="198"/>
    </row>
    <row r="3" ht="15.75" customHeight="1" spans="1:15">
      <c r="A3" s="271"/>
      <c r="B3" s="279" t="s">
        <v>679</v>
      </c>
      <c r="C3" s="84"/>
      <c r="D3" s="84"/>
      <c r="E3" s="84"/>
      <c r="F3" s="84"/>
      <c r="G3" s="84"/>
      <c r="H3" s="84"/>
      <c r="I3" s="84"/>
      <c r="J3" s="84"/>
      <c r="K3" s="84"/>
      <c r="L3" s="85"/>
      <c r="M3" s="278"/>
    </row>
    <row r="4" ht="14.4" spans="1:15">
      <c r="A4" s="271"/>
      <c r="B4" s="248" t="s">
        <v>680</v>
      </c>
      <c r="C4" s="249"/>
      <c r="D4" s="249"/>
      <c r="E4" s="249"/>
      <c r="F4" s="249"/>
      <c r="G4" s="249"/>
      <c r="H4" s="249"/>
      <c r="I4" s="249"/>
      <c r="J4" s="249"/>
      <c r="K4" s="249"/>
      <c r="L4" s="250"/>
      <c r="M4" s="278"/>
    </row>
    <row r="5" ht="15.15" spans="1:15">
      <c r="A5" s="271"/>
      <c r="B5" s="251"/>
      <c r="E5" s="189"/>
      <c r="F5" s="189"/>
      <c r="G5" s="189"/>
      <c r="H5" s="189"/>
      <c r="I5" s="189"/>
      <c r="J5" s="189"/>
      <c r="L5" s="252"/>
      <c r="M5" s="278"/>
    </row>
    <row r="6" ht="15.15" spans="1:15">
      <c r="A6" s="191"/>
      <c r="B6" s="280"/>
      <c r="C6" s="281"/>
      <c r="D6" s="282"/>
      <c r="E6" s="283"/>
      <c r="F6" s="284"/>
      <c r="G6" s="285"/>
      <c r="H6" s="286" t="s">
        <v>640</v>
      </c>
      <c r="I6" s="287" t="s">
        <v>673</v>
      </c>
      <c r="J6" s="288"/>
      <c r="K6" s="287" t="s">
        <v>681</v>
      </c>
      <c r="L6" s="289"/>
      <c r="M6" s="191"/>
    </row>
    <row r="7" ht="24" spans="1:15">
      <c r="A7" s="191"/>
      <c r="B7" s="290" t="s">
        <v>642</v>
      </c>
      <c r="C7" s="215" t="s">
        <v>668</v>
      </c>
      <c r="D7" s="291" t="s">
        <v>669</v>
      </c>
      <c r="E7" s="292" t="s">
        <v>670</v>
      </c>
      <c r="F7" s="293" t="s">
        <v>646</v>
      </c>
      <c r="G7" s="294" t="s">
        <v>682</v>
      </c>
      <c r="H7" s="295"/>
      <c r="I7" s="296" t="s">
        <v>17</v>
      </c>
      <c r="J7" s="297" t="s">
        <v>17</v>
      </c>
      <c r="K7" s="296" t="s">
        <v>17</v>
      </c>
      <c r="L7" s="298" t="s">
        <v>17</v>
      </c>
      <c r="M7" s="191"/>
    </row>
    <row r="8" ht="15.15" spans="1:15">
      <c r="A8" s="191"/>
      <c r="B8" s="299"/>
      <c r="C8" s="215"/>
      <c r="D8" s="263"/>
      <c r="E8" s="292"/>
      <c r="F8" s="300"/>
      <c r="G8" s="294"/>
      <c r="H8" s="295"/>
      <c r="I8" s="301"/>
      <c r="J8" s="302"/>
      <c r="K8" s="303"/>
      <c r="L8" s="304"/>
      <c r="M8" s="191"/>
    </row>
    <row r="9" customHeight="1" spans="1:15">
      <c r="A9" s="271"/>
      <c r="B9" s="305" t="s">
        <v>652</v>
      </c>
      <c r="C9" s="306"/>
      <c r="D9" s="220"/>
      <c r="E9" s="306"/>
      <c r="F9" s="220"/>
      <c r="G9" s="306"/>
      <c r="H9" s="307"/>
      <c r="I9" s="307">
        <f>C9+D9-E9+F9-G9+H9</f>
        <v>0</v>
      </c>
      <c r="J9" s="307"/>
      <c r="K9" s="220"/>
      <c r="L9" s="306"/>
      <c r="M9" s="191"/>
    </row>
    <row r="10" ht="14.4" spans="1:15">
      <c r="A10" s="271"/>
      <c r="B10" s="305" t="s">
        <v>653</v>
      </c>
      <c r="C10" s="308"/>
      <c r="D10" s="220"/>
      <c r="E10" s="308"/>
      <c r="F10" s="220"/>
      <c r="G10" s="308"/>
      <c r="H10" s="219"/>
      <c r="I10" s="219">
        <f t="shared" ref="I10:I15" si="0">C10+D10-E10+F10-G10+H10</f>
        <v>0</v>
      </c>
      <c r="J10" s="219"/>
      <c r="K10" s="220"/>
      <c r="L10" s="308"/>
      <c r="M10" s="191"/>
    </row>
    <row r="11" ht="14.4" spans="1:15">
      <c r="A11" s="271"/>
      <c r="B11" s="305" t="s">
        <v>674</v>
      </c>
      <c r="C11" s="308"/>
      <c r="D11" s="220"/>
      <c r="E11" s="308"/>
      <c r="F11" s="220"/>
      <c r="G11" s="308"/>
      <c r="H11" s="219"/>
      <c r="I11" s="219">
        <f t="shared" si="0"/>
        <v>0</v>
      </c>
      <c r="J11" s="219"/>
      <c r="K11" s="220"/>
      <c r="L11" s="308"/>
      <c r="M11" s="191"/>
    </row>
    <row r="12" ht="26.4" spans="1:15">
      <c r="A12" s="271"/>
      <c r="B12" s="305" t="s">
        <v>661</v>
      </c>
      <c r="C12" s="308"/>
      <c r="D12" s="220"/>
      <c r="E12" s="308"/>
      <c r="F12" s="220"/>
      <c r="G12" s="308"/>
      <c r="H12" s="219"/>
      <c r="I12" s="219">
        <f t="shared" si="0"/>
        <v>0</v>
      </c>
      <c r="J12" s="219"/>
      <c r="K12" s="220"/>
      <c r="L12" s="308"/>
      <c r="M12" s="191"/>
    </row>
    <row r="13" ht="14.4" spans="1:15">
      <c r="A13" s="271"/>
      <c r="B13" s="305" t="s">
        <v>675</v>
      </c>
      <c r="C13" s="308"/>
      <c r="D13" s="220"/>
      <c r="E13" s="308"/>
      <c r="F13" s="220"/>
      <c r="G13" s="308"/>
      <c r="H13" s="219"/>
      <c r="I13" s="219">
        <f t="shared" si="0"/>
        <v>0</v>
      </c>
      <c r="J13" s="219"/>
      <c r="K13" s="220"/>
      <c r="L13" s="308"/>
      <c r="M13" s="191"/>
    </row>
    <row r="14" ht="26.4" spans="1:15">
      <c r="A14" s="271"/>
      <c r="B14" s="305" t="s">
        <v>683</v>
      </c>
      <c r="C14" s="308"/>
      <c r="D14" s="220"/>
      <c r="E14" s="308"/>
      <c r="F14" s="220"/>
      <c r="G14" s="308"/>
      <c r="H14" s="219"/>
      <c r="I14" s="219">
        <f t="shared" si="0"/>
        <v>0</v>
      </c>
      <c r="J14" s="219"/>
      <c r="K14" s="220"/>
      <c r="L14" s="308"/>
      <c r="M14" s="191"/>
    </row>
    <row r="15" ht="15.15" spans="1:15">
      <c r="A15" s="271"/>
      <c r="B15" s="309" t="s">
        <v>677</v>
      </c>
      <c r="C15" s="308"/>
      <c r="D15" s="220"/>
      <c r="E15" s="308"/>
      <c r="F15" s="220"/>
      <c r="G15" s="308"/>
      <c r="H15" s="219"/>
      <c r="I15" s="219">
        <f t="shared" si="0"/>
        <v>0</v>
      </c>
      <c r="J15" s="219"/>
      <c r="K15" s="220"/>
      <c r="L15" s="308"/>
      <c r="M15" s="191"/>
    </row>
    <row r="16" s="21" customFormat="1" ht="15.15" spans="1:15">
      <c r="A16" s="310"/>
      <c r="B16" s="311" t="s">
        <v>664</v>
      </c>
      <c r="C16" s="312">
        <f t="shared" ref="C16:L16" si="1">SUM(C9:C15)</f>
        <v>0</v>
      </c>
      <c r="D16" s="312">
        <f t="shared" si="1"/>
        <v>0</v>
      </c>
      <c r="E16" s="312">
        <f t="shared" si="1"/>
        <v>0</v>
      </c>
      <c r="F16" s="312">
        <f t="shared" si="1"/>
        <v>0</v>
      </c>
      <c r="G16" s="312">
        <f t="shared" si="1"/>
        <v>0</v>
      </c>
      <c r="H16" s="312">
        <f t="shared" si="1"/>
        <v>0</v>
      </c>
      <c r="I16" s="313">
        <f t="shared" si="1"/>
        <v>0</v>
      </c>
      <c r="J16" s="314">
        <f t="shared" si="1"/>
        <v>0</v>
      </c>
      <c r="K16" s="315">
        <f t="shared" si="1"/>
        <v>0</v>
      </c>
      <c r="L16" s="316">
        <f t="shared" si="1"/>
        <v>0</v>
      </c>
      <c r="M16" s="310"/>
    </row>
    <row r="17" s="21" customFormat="1" ht="15.15" spans="1:13">
      <c r="A17" s="310"/>
      <c r="B17" s="317" t="s">
        <v>678</v>
      </c>
      <c r="C17" s="318"/>
      <c r="D17" s="319"/>
      <c r="E17" s="319"/>
      <c r="F17" s="319"/>
      <c r="G17" s="319"/>
      <c r="H17" s="319"/>
      <c r="I17" s="314">
        <f>SUM(C17:H17)</f>
        <v>0</v>
      </c>
      <c r="J17" s="320"/>
      <c r="K17" s="314">
        <f>L16</f>
        <v>0</v>
      </c>
      <c r="L17" s="320"/>
      <c r="M17" s="310"/>
    </row>
    <row r="18" ht="13.2"/>
    <row r="19" s="21" customFormat="1" ht="13.2" spans="1:13">
      <c r="B19" s="138" t="s">
        <v>104</v>
      </c>
      <c r="C19" s="242"/>
      <c r="D19" s="243"/>
      <c r="E19" s="243"/>
      <c r="F19" s="244"/>
    </row>
    <row r="20" s="21" customFormat="1" ht="13.2" spans="1:13">
      <c r="B20" s="138"/>
      <c r="C20" s="242"/>
      <c r="D20" s="243"/>
      <c r="E20" s="243"/>
      <c r="F20" s="244"/>
    </row>
    <row r="21" ht="13.2" spans="1:13">
      <c r="B21" s="138" t="s">
        <v>105</v>
      </c>
      <c r="K21" s="321"/>
    </row>
    <row r="22" ht="13.2" spans="1:13">
      <c r="B22" s="21"/>
    </row>
    <row r="23" ht="13.2" spans="1:13">
      <c r="B23" s="34" t="s">
        <v>106</v>
      </c>
      <c r="C23" s="189"/>
      <c r="D23" s="189"/>
      <c r="E23" s="189"/>
    </row>
    <row r="24" ht="13.2" spans="1:13">
      <c r="B24" s="29" t="s">
        <v>107</v>
      </c>
      <c r="C24" s="138"/>
      <c r="D24" s="138"/>
      <c r="E24" s="138"/>
    </row>
    <row r="25" ht="13.2" spans="1:13">
      <c r="B25" s="35" t="s">
        <v>108</v>
      </c>
      <c r="C25" s="138"/>
      <c r="D25" s="138"/>
      <c r="E25" s="138"/>
    </row>
    <row r="26" customHeight="1" spans="1:13">
      <c r="B26" s="33"/>
    </row>
    <row r="27" customHeight="1" spans="1:13">
      <c r="B27" s="21"/>
    </row>
  </sheetData>
  <mergeCells count="13">
    <mergeCell ref="B3:L3"/>
    <mergeCell ref="B4:L4"/>
    <mergeCell ref="I6:J6"/>
    <mergeCell ref="K6:L6"/>
    <mergeCell ref="C7:C8"/>
    <mergeCell ref="D7:D8"/>
    <mergeCell ref="E7:E8"/>
    <mergeCell ref="F7:F8"/>
    <mergeCell ref="H6:H8"/>
    <mergeCell ref="I7:I8"/>
    <mergeCell ref="J7:J8"/>
    <mergeCell ref="K7:K8"/>
    <mergeCell ref="L7:L8"/>
  </mergeCells>
  <conditionalFormatting sqref="D19:E20">
    <cfRule type="containsText" dxfId="3" priority="1" operator="between" text="control">
      <formula>NOT(ISERROR(SEARCH("control",D19)))</formula>
    </cfRule>
  </conditionalFormatting>
  <pageMargins left="0.25" right="0.25" top="0.75" bottom="0.75" header="0.3" footer="0.3"/>
  <pageSetup paperSize="9" scale="7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5"/>
  <sheetViews>
    <sheetView showGridLines="0" zoomScale="75" zoomScaleNormal="75" workbookViewId="0">
      <selection activeCell="B6" sqref="B6"/>
    </sheetView>
  </sheetViews>
  <sheetFormatPr defaultColWidth="9.13888888888889" defaultRowHeight="17.25" customHeight="1"/>
  <cols>
    <col min="1" max="1" width="2" style="135" customWidth="1"/>
    <col min="2" max="2" width="67.287037037037" style="135" customWidth="1"/>
    <col min="3" max="10" width="13.5740740740741" style="135" customWidth="1"/>
    <col min="11" max="11" width="15.5740740740741" style="135" customWidth="1"/>
    <col min="12" max="13" width="13.5740740740741" style="135" customWidth="1"/>
    <col min="14" max="14" width="2" style="135" customWidth="1"/>
    <col min="15" max="16384" width="9.13888888888889" style="135"/>
  </cols>
  <sheetData>
    <row r="1" ht="13.95"/>
    <row r="2" ht="20.25" customHeight="1" spans="1:15">
      <c r="A2" s="191"/>
      <c r="B2" s="192" t="s">
        <v>0</v>
      </c>
      <c r="C2" s="246"/>
      <c r="D2" s="246"/>
      <c r="E2" s="246"/>
      <c r="F2" s="246"/>
      <c r="G2" s="246"/>
      <c r="H2" s="246"/>
      <c r="I2" s="246"/>
      <c r="J2" s="246"/>
      <c r="K2" s="246"/>
      <c r="L2" s="247"/>
      <c r="M2" s="197" t="s">
        <v>684</v>
      </c>
      <c r="N2" s="191"/>
      <c r="O2" s="198"/>
    </row>
    <row r="3" ht="15.75" customHeight="1" spans="1:15">
      <c r="A3" s="191"/>
      <c r="B3" s="199" t="s">
        <v>685</v>
      </c>
      <c r="C3" s="84"/>
      <c r="D3" s="84"/>
      <c r="E3" s="84"/>
      <c r="F3" s="84"/>
      <c r="G3" s="84"/>
      <c r="H3" s="84"/>
      <c r="I3" s="84"/>
      <c r="J3" s="84"/>
      <c r="K3" s="84"/>
      <c r="L3" s="84"/>
      <c r="M3" s="85"/>
      <c r="N3" s="191"/>
    </row>
    <row r="4" ht="14.4" spans="1:15">
      <c r="A4" s="191"/>
      <c r="B4" s="248" t="s">
        <v>637</v>
      </c>
      <c r="C4" s="249"/>
      <c r="D4" s="249"/>
      <c r="E4" s="249"/>
      <c r="F4" s="249"/>
      <c r="G4" s="249"/>
      <c r="H4" s="249"/>
      <c r="I4" s="249"/>
      <c r="J4" s="249"/>
      <c r="K4" s="249"/>
      <c r="L4" s="249"/>
      <c r="M4" s="250"/>
      <c r="N4" s="191"/>
    </row>
    <row r="5" ht="15.15" spans="1:15">
      <c r="A5" s="191"/>
      <c r="B5" s="251"/>
      <c r="D5" s="189"/>
      <c r="E5" s="189"/>
      <c r="F5" s="189"/>
      <c r="G5" s="189"/>
      <c r="H5" s="189"/>
      <c r="I5" s="189"/>
      <c r="M5" s="252"/>
      <c r="N5" s="191"/>
    </row>
    <row r="6" ht="15.15" spans="1:15">
      <c r="A6" s="191"/>
      <c r="B6" s="253"/>
      <c r="C6" s="254" t="s">
        <v>638</v>
      </c>
      <c r="D6" s="255"/>
      <c r="E6" s="255"/>
      <c r="F6" s="256"/>
      <c r="G6" s="254" t="s">
        <v>639</v>
      </c>
      <c r="H6" s="255"/>
      <c r="I6" s="255"/>
      <c r="J6" s="256"/>
      <c r="K6" s="257" t="s">
        <v>640</v>
      </c>
      <c r="L6" s="254" t="s">
        <v>641</v>
      </c>
      <c r="M6" s="256"/>
      <c r="N6" s="191"/>
    </row>
    <row r="7" ht="24" customHeight="1" spans="1:15">
      <c r="A7" s="191"/>
      <c r="B7" s="258" t="s">
        <v>642</v>
      </c>
      <c r="C7" s="259" t="s">
        <v>643</v>
      </c>
      <c r="D7" s="259" t="s">
        <v>644</v>
      </c>
      <c r="E7" s="259" t="s">
        <v>645</v>
      </c>
      <c r="F7" s="259" t="s">
        <v>648</v>
      </c>
      <c r="G7" s="259" t="s">
        <v>686</v>
      </c>
      <c r="H7" s="259" t="s">
        <v>645</v>
      </c>
      <c r="I7" s="259" t="s">
        <v>650</v>
      </c>
      <c r="J7" s="259" t="s">
        <v>687</v>
      </c>
      <c r="K7" s="260"/>
      <c r="L7" s="261" t="s">
        <v>17</v>
      </c>
      <c r="M7" s="261" t="s">
        <v>17</v>
      </c>
      <c r="N7" s="191"/>
    </row>
    <row r="8" ht="15.15" spans="1:15">
      <c r="A8" s="191"/>
      <c r="B8" s="262"/>
      <c r="C8" s="263"/>
      <c r="D8" s="263"/>
      <c r="E8" s="263"/>
      <c r="F8" s="263"/>
      <c r="G8" s="263"/>
      <c r="H8" s="263"/>
      <c r="I8" s="263"/>
      <c r="J8" s="263"/>
      <c r="K8" s="264"/>
      <c r="L8" s="265"/>
      <c r="M8" s="265"/>
      <c r="N8" s="191"/>
    </row>
    <row r="9" customHeight="1" spans="1:15">
      <c r="A9" s="191"/>
      <c r="B9" s="266" t="s">
        <v>688</v>
      </c>
      <c r="C9" s="218"/>
      <c r="D9" s="218"/>
      <c r="E9" s="218"/>
      <c r="F9" s="267">
        <f>C9+D9-E9</f>
        <v>0</v>
      </c>
      <c r="G9" s="218"/>
      <c r="H9" s="218"/>
      <c r="I9" s="218"/>
      <c r="J9" s="267">
        <f>G9-H9+I9</f>
        <v>0</v>
      </c>
      <c r="K9" s="267"/>
      <c r="L9" s="267">
        <f>F9-J9+K9</f>
        <v>0</v>
      </c>
      <c r="M9" s="222"/>
      <c r="N9" s="191"/>
    </row>
    <row r="10" ht="14.4" spans="1:15">
      <c r="A10" s="191"/>
      <c r="B10" s="266" t="s">
        <v>689</v>
      </c>
      <c r="C10" s="218"/>
      <c r="D10" s="218"/>
      <c r="E10" s="218"/>
      <c r="F10" s="267">
        <f t="shared" ref="F10:F14" si="0">C10+D10-E10</f>
        <v>0</v>
      </c>
      <c r="G10" s="218"/>
      <c r="H10" s="218"/>
      <c r="I10" s="218"/>
      <c r="J10" s="267">
        <f t="shared" ref="J10:J14" si="1">G10-H10+I10</f>
        <v>0</v>
      </c>
      <c r="K10" s="267"/>
      <c r="L10" s="267">
        <f t="shared" ref="L10:L14" si="2">F10-J10+K10</f>
        <v>0</v>
      </c>
      <c r="M10" s="222"/>
      <c r="N10" s="191"/>
    </row>
    <row r="11" ht="14.4" spans="1:15">
      <c r="A11" s="191"/>
      <c r="B11" s="266" t="s">
        <v>690</v>
      </c>
      <c r="C11" s="218"/>
      <c r="D11" s="218"/>
      <c r="E11" s="218"/>
      <c r="F11" s="267">
        <f t="shared" si="0"/>
        <v>0</v>
      </c>
      <c r="G11" s="218"/>
      <c r="H11" s="218"/>
      <c r="I11" s="218"/>
      <c r="J11" s="267">
        <f t="shared" si="1"/>
        <v>0</v>
      </c>
      <c r="K11" s="267"/>
      <c r="L11" s="267">
        <f t="shared" si="2"/>
        <v>0</v>
      </c>
      <c r="M11" s="222"/>
      <c r="N11" s="191"/>
    </row>
    <row r="12" ht="14.4" spans="1:15">
      <c r="A12" s="191"/>
      <c r="B12" s="266" t="s">
        <v>691</v>
      </c>
      <c r="C12" s="218"/>
      <c r="D12" s="218"/>
      <c r="E12" s="218"/>
      <c r="F12" s="267">
        <f t="shared" si="0"/>
        <v>0</v>
      </c>
      <c r="G12" s="218"/>
      <c r="H12" s="218"/>
      <c r="I12" s="218"/>
      <c r="J12" s="267">
        <f t="shared" si="1"/>
        <v>0</v>
      </c>
      <c r="K12" s="267"/>
      <c r="L12" s="267">
        <f t="shared" si="2"/>
        <v>0</v>
      </c>
      <c r="M12" s="222"/>
      <c r="N12" s="191"/>
    </row>
    <row r="13" ht="14.4" spans="1:15">
      <c r="A13" s="191"/>
      <c r="B13" s="266" t="s">
        <v>692</v>
      </c>
      <c r="C13" s="218"/>
      <c r="D13" s="218"/>
      <c r="E13" s="218"/>
      <c r="F13" s="267">
        <f t="shared" si="0"/>
        <v>0</v>
      </c>
      <c r="G13" s="218"/>
      <c r="H13" s="218"/>
      <c r="I13" s="218"/>
      <c r="J13" s="267">
        <f t="shared" si="1"/>
        <v>0</v>
      </c>
      <c r="K13" s="267"/>
      <c r="L13" s="267">
        <f t="shared" si="2"/>
        <v>0</v>
      </c>
      <c r="M13" s="222"/>
      <c r="N13" s="191"/>
    </row>
    <row r="14" ht="15.15" spans="1:15">
      <c r="A14" s="191"/>
      <c r="B14" s="268" t="s">
        <v>693</v>
      </c>
      <c r="C14" s="218"/>
      <c r="D14" s="218"/>
      <c r="E14" s="218"/>
      <c r="F14" s="267">
        <f t="shared" si="0"/>
        <v>0</v>
      </c>
      <c r="G14" s="218"/>
      <c r="H14" s="218"/>
      <c r="I14" s="218"/>
      <c r="J14" s="267">
        <f t="shared" si="1"/>
        <v>0</v>
      </c>
      <c r="K14" s="267"/>
      <c r="L14" s="267">
        <f t="shared" si="2"/>
        <v>0</v>
      </c>
      <c r="M14" s="222"/>
      <c r="N14" s="191"/>
    </row>
    <row r="15" ht="15.15" spans="1:15">
      <c r="A15" s="191"/>
      <c r="B15" s="269" t="s">
        <v>664</v>
      </c>
      <c r="C15" s="269">
        <f>SUM(C9:C14)</f>
        <v>0</v>
      </c>
      <c r="D15" s="269">
        <f t="shared" ref="D15:M15" si="3">SUM(D9:D14)</f>
        <v>0</v>
      </c>
      <c r="E15" s="269">
        <f t="shared" si="3"/>
        <v>0</v>
      </c>
      <c r="F15" s="269">
        <f t="shared" si="3"/>
        <v>0</v>
      </c>
      <c r="G15" s="269">
        <f t="shared" si="3"/>
        <v>0</v>
      </c>
      <c r="H15" s="269">
        <f t="shared" si="3"/>
        <v>0</v>
      </c>
      <c r="I15" s="269">
        <f t="shared" si="3"/>
        <v>0</v>
      </c>
      <c r="J15" s="269">
        <f t="shared" si="3"/>
        <v>0</v>
      </c>
      <c r="K15" s="269">
        <f t="shared" si="3"/>
        <v>0</v>
      </c>
      <c r="L15" s="269">
        <f t="shared" si="3"/>
        <v>0</v>
      </c>
      <c r="M15" s="270">
        <f t="shared" si="3"/>
        <v>0</v>
      </c>
      <c r="N15" s="191"/>
    </row>
    <row r="16" ht="15.15" spans="1:15">
      <c r="A16" s="271"/>
      <c r="B16" s="272" t="s">
        <v>665</v>
      </c>
      <c r="C16" s="273"/>
      <c r="D16" s="273"/>
      <c r="E16" s="273"/>
      <c r="F16" s="273">
        <f>C16+D16-E16</f>
        <v>0</v>
      </c>
      <c r="G16" s="273"/>
      <c r="H16" s="273"/>
      <c r="I16" s="273"/>
      <c r="J16" s="273">
        <f>G16-H16+I16</f>
        <v>0</v>
      </c>
      <c r="K16" s="273"/>
      <c r="L16" s="273">
        <f>F16-J16+K16</f>
        <v>0</v>
      </c>
      <c r="M16" s="274"/>
      <c r="N16" s="191"/>
    </row>
    <row r="17" ht="13.2"/>
    <row r="18" s="21" customFormat="1" ht="13.2" spans="2:6">
      <c r="B18" s="138" t="s">
        <v>104</v>
      </c>
      <c r="C18" s="242"/>
      <c r="D18" s="243"/>
      <c r="E18" s="243"/>
      <c r="F18" s="244"/>
    </row>
    <row r="19" ht="13.2" spans="2:6">
      <c r="C19" s="138"/>
      <c r="D19" s="138"/>
      <c r="E19" s="138"/>
    </row>
    <row r="20" ht="13.2" spans="2:6">
      <c r="B20" s="138" t="s">
        <v>105</v>
      </c>
    </row>
    <row r="21" ht="13.2"/>
    <row r="22" ht="13.2" spans="2:6">
      <c r="B22" s="139" t="s">
        <v>106</v>
      </c>
    </row>
    <row r="23" ht="13.2" spans="2:6">
      <c r="B23" s="140" t="s">
        <v>107</v>
      </c>
    </row>
    <row r="24" customHeight="1" spans="2:6">
      <c r="B24" s="141" t="s">
        <v>108</v>
      </c>
    </row>
    <row r="25" customHeight="1" spans="2:6">
      <c r="B25" s="138"/>
    </row>
  </sheetData>
  <mergeCells count="16">
    <mergeCell ref="B3:M3"/>
    <mergeCell ref="B4:M4"/>
    <mergeCell ref="C6:F6"/>
    <mergeCell ref="G6:J6"/>
    <mergeCell ref="L6:M6"/>
    <mergeCell ref="C7:C8"/>
    <mergeCell ref="D7:D8"/>
    <mergeCell ref="E7:E8"/>
    <mergeCell ref="F7:F8"/>
    <mergeCell ref="G7:G8"/>
    <mergeCell ref="H7:H8"/>
    <mergeCell ref="I7:I8"/>
    <mergeCell ref="J7:J8"/>
    <mergeCell ref="K6:K8"/>
    <mergeCell ref="L7:L8"/>
    <mergeCell ref="M7:M8"/>
  </mergeCells>
  <conditionalFormatting sqref="D18:E18">
    <cfRule type="containsText" dxfId="3" priority="1" operator="between" text="control">
      <formula>NOT(ISERROR(SEARCH("control",D18)))</formula>
    </cfRule>
  </conditionalFormatting>
  <pageMargins left="0.708661417322835" right="0.708661417322835" top="0.748031496062992" bottom="0.748031496062992" header="0.31496062992126" footer="0.31496062992126"/>
  <pageSetup paperSize="9" scale="6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3"/>
  <sheetViews>
    <sheetView showGridLines="0" zoomScale="75" zoomScaleNormal="75" workbookViewId="0">
      <selection activeCell="M21" sqref="M21"/>
    </sheetView>
  </sheetViews>
  <sheetFormatPr defaultColWidth="9.13888888888889" defaultRowHeight="12.75" customHeight="1"/>
  <cols>
    <col min="1" max="1" width="2.57407407407407" style="135" customWidth="1"/>
    <col min="2" max="2" width="43.287037037037" style="142" customWidth="1"/>
    <col min="3" max="3" width="17" style="142" customWidth="1"/>
    <col min="4" max="4" width="13.1388888888889" style="142" customWidth="1"/>
    <col min="5" max="5" width="12.712962962963" style="142" customWidth="1"/>
    <col min="6" max="6" width="15.4259259259259" style="142" customWidth="1"/>
    <col min="7" max="7" width="17.5740740740741" style="142" customWidth="1"/>
    <col min="8" max="8" width="5.13888888888889" style="142" customWidth="1"/>
    <col min="9" max="9" width="24" style="135" customWidth="1"/>
    <col min="10" max="10" width="13.5740740740741" style="142" customWidth="1"/>
    <col min="11" max="11" width="13.287037037037" style="142" customWidth="1"/>
    <col min="12" max="12" width="13.4259259259259" style="142" customWidth="1"/>
    <col min="13" max="13" width="15.5740740740741" style="142" customWidth="1"/>
    <col min="14" max="14" width="17.287037037037" style="142" customWidth="1"/>
    <col min="15" max="15" width="3.28703703703704" style="135" customWidth="1"/>
    <col min="16" max="16384" width="9.13888888888889" style="135"/>
  </cols>
  <sheetData>
    <row r="1" ht="15.15" spans="1:15">
      <c r="B1" s="191"/>
      <c r="C1" s="191"/>
      <c r="D1" s="191"/>
      <c r="E1" s="191"/>
      <c r="F1" s="191"/>
      <c r="G1" s="191"/>
      <c r="H1" s="191"/>
      <c r="I1" s="191"/>
      <c r="J1" s="191"/>
      <c r="K1" s="191"/>
      <c r="L1" s="191"/>
      <c r="M1" s="191"/>
      <c r="N1" s="191"/>
    </row>
    <row r="2" ht="21" customHeight="1" spans="1:15">
      <c r="A2" s="191"/>
      <c r="B2" s="192" t="s">
        <v>0</v>
      </c>
      <c r="C2" s="193"/>
      <c r="D2" s="193"/>
      <c r="E2" s="193"/>
      <c r="F2" s="193"/>
      <c r="G2" s="193"/>
      <c r="H2" s="193"/>
      <c r="I2" s="194"/>
      <c r="J2" s="195"/>
      <c r="K2" s="193"/>
      <c r="L2" s="193"/>
      <c r="M2" s="196"/>
      <c r="N2" s="197" t="s">
        <v>694</v>
      </c>
      <c r="O2" s="198"/>
    </row>
    <row r="3" ht="14.4" spans="1:15">
      <c r="A3" s="191"/>
      <c r="B3" s="199" t="s">
        <v>695</v>
      </c>
      <c r="C3" s="200"/>
      <c r="D3" s="200"/>
      <c r="E3" s="200"/>
      <c r="F3" s="200"/>
      <c r="G3" s="200"/>
      <c r="H3" s="200"/>
      <c r="I3" s="200"/>
      <c r="J3" s="200"/>
      <c r="K3" s="200"/>
      <c r="L3" s="200"/>
      <c r="M3" s="200"/>
      <c r="N3" s="201"/>
    </row>
    <row r="4" ht="14.4" spans="1:15">
      <c r="A4" s="191"/>
      <c r="B4" s="83" t="s">
        <v>637</v>
      </c>
      <c r="C4" s="84"/>
      <c r="D4" s="84"/>
      <c r="E4" s="84"/>
      <c r="F4" s="84"/>
      <c r="G4" s="84"/>
      <c r="H4" s="84"/>
      <c r="I4" s="84"/>
      <c r="J4" s="84"/>
      <c r="K4" s="84"/>
      <c r="L4" s="84"/>
      <c r="M4" s="84"/>
      <c r="N4" s="201"/>
    </row>
    <row r="5" ht="15.15" spans="1:15">
      <c r="A5" s="191"/>
      <c r="B5" s="202"/>
      <c r="C5" s="203"/>
      <c r="D5" s="203"/>
      <c r="E5" s="203"/>
      <c r="F5" s="204"/>
      <c r="G5" s="204"/>
      <c r="H5" s="204"/>
      <c r="I5" s="205"/>
      <c r="J5" s="204"/>
      <c r="N5" s="206"/>
    </row>
    <row r="6" s="138" customFormat="1" ht="18" customHeight="1" spans="1:15">
      <c r="A6" s="191"/>
      <c r="B6" s="207" t="s">
        <v>696</v>
      </c>
      <c r="C6" s="208"/>
      <c r="D6" s="208"/>
      <c r="E6" s="208"/>
      <c r="F6" s="208"/>
      <c r="G6" s="209"/>
      <c r="H6" s="84"/>
      <c r="I6" s="210" t="s">
        <v>697</v>
      </c>
      <c r="J6" s="211"/>
      <c r="K6" s="211"/>
      <c r="L6" s="211"/>
      <c r="M6" s="211"/>
      <c r="N6" s="212"/>
    </row>
    <row r="7" ht="48.75" spans="1:15">
      <c r="A7" s="191"/>
      <c r="B7" s="213" t="s">
        <v>698</v>
      </c>
      <c r="C7" s="214" t="s">
        <v>699</v>
      </c>
      <c r="D7" s="214" t="s">
        <v>700</v>
      </c>
      <c r="E7" s="214" t="s">
        <v>701</v>
      </c>
      <c r="F7" s="214" t="s">
        <v>702</v>
      </c>
      <c r="G7" s="214" t="s">
        <v>703</v>
      </c>
      <c r="H7" s="215"/>
      <c r="I7" s="213" t="s">
        <v>698</v>
      </c>
      <c r="J7" s="214" t="s">
        <v>704</v>
      </c>
      <c r="K7" s="214" t="s">
        <v>700</v>
      </c>
      <c r="L7" s="214" t="s">
        <v>701</v>
      </c>
      <c r="M7" s="214" t="s">
        <v>702</v>
      </c>
      <c r="N7" s="214" t="s">
        <v>703</v>
      </c>
    </row>
    <row r="8" ht="14.4" spans="1:15">
      <c r="A8" s="191"/>
      <c r="B8" s="216" t="s">
        <v>705</v>
      </c>
      <c r="C8" s="217"/>
      <c r="D8" s="217"/>
      <c r="E8" s="217"/>
      <c r="F8" s="218"/>
      <c r="G8" s="219"/>
      <c r="H8" s="220"/>
      <c r="I8" s="221"/>
      <c r="J8" s="217"/>
      <c r="K8" s="217"/>
      <c r="L8" s="217"/>
      <c r="M8" s="217"/>
      <c r="N8" s="222"/>
    </row>
    <row r="9" ht="25.5" customHeight="1" spans="1:15">
      <c r="A9" s="191"/>
      <c r="B9" s="223" t="s">
        <v>706</v>
      </c>
      <c r="C9" s="217"/>
      <c r="D9" s="217"/>
      <c r="E9" s="217"/>
      <c r="F9" s="218">
        <f>SUM(C9+D9-E9)</f>
        <v>0</v>
      </c>
      <c r="G9" s="219"/>
      <c r="H9" s="220"/>
      <c r="I9" s="223" t="s">
        <v>707</v>
      </c>
      <c r="J9" s="217"/>
      <c r="K9" s="217"/>
      <c r="L9" s="217"/>
      <c r="M9" s="217">
        <f>SUM(J9+K9-L9)</f>
        <v>0</v>
      </c>
      <c r="N9" s="222"/>
    </row>
    <row r="10" ht="28.5" customHeight="1" spans="1:15">
      <c r="A10" s="191"/>
      <c r="B10" s="223" t="s">
        <v>708</v>
      </c>
      <c r="C10" s="217"/>
      <c r="D10" s="217"/>
      <c r="E10" s="217"/>
      <c r="F10" s="218">
        <f t="shared" ref="F10:F21" si="0">SUM(C10+D10-E10)</f>
        <v>0</v>
      </c>
      <c r="G10" s="219"/>
      <c r="H10" s="220"/>
      <c r="I10" s="223" t="s">
        <v>709</v>
      </c>
      <c r="J10" s="217"/>
      <c r="K10" s="217"/>
      <c r="L10" s="217"/>
      <c r="M10" s="217">
        <f t="shared" ref="M10:M11" si="1">SUM(J10+K10-L10)</f>
        <v>0</v>
      </c>
      <c r="N10" s="222"/>
    </row>
    <row r="11" ht="26.4" spans="1:15">
      <c r="A11" s="191"/>
      <c r="B11" s="223" t="s">
        <v>710</v>
      </c>
      <c r="C11" s="217"/>
      <c r="D11" s="217"/>
      <c r="E11" s="217"/>
      <c r="F11" s="218">
        <f t="shared" si="0"/>
        <v>0</v>
      </c>
      <c r="G11" s="219"/>
      <c r="H11" s="220"/>
      <c r="I11" s="223" t="s">
        <v>711</v>
      </c>
      <c r="J11" s="217"/>
      <c r="K11" s="217"/>
      <c r="L11" s="217"/>
      <c r="M11" s="217">
        <f t="shared" si="1"/>
        <v>0</v>
      </c>
      <c r="N11" s="222"/>
    </row>
    <row r="12" ht="26.4" spans="1:15">
      <c r="A12" s="191"/>
      <c r="B12" s="223" t="s">
        <v>712</v>
      </c>
      <c r="C12" s="217"/>
      <c r="D12" s="217"/>
      <c r="E12" s="217"/>
      <c r="F12" s="218">
        <f t="shared" si="0"/>
        <v>0</v>
      </c>
      <c r="G12" s="219"/>
      <c r="H12" s="220"/>
      <c r="I12" s="223"/>
      <c r="J12" s="217"/>
      <c r="K12" s="217"/>
      <c r="L12" s="217"/>
      <c r="M12" s="217"/>
      <c r="N12" s="222"/>
    </row>
    <row r="13" ht="26.4" spans="1:15">
      <c r="A13" s="191"/>
      <c r="B13" s="223" t="s">
        <v>713</v>
      </c>
      <c r="C13" s="217"/>
      <c r="D13" s="217"/>
      <c r="E13" s="217"/>
      <c r="F13" s="218">
        <f t="shared" si="0"/>
        <v>0</v>
      </c>
      <c r="G13" s="219"/>
      <c r="H13" s="220"/>
      <c r="I13" s="223"/>
      <c r="J13" s="217"/>
      <c r="K13" s="217"/>
      <c r="L13" s="217"/>
      <c r="M13" s="217"/>
      <c r="N13" s="222"/>
    </row>
    <row r="14" ht="26.4" spans="1:15">
      <c r="A14" s="191"/>
      <c r="B14" s="223" t="s">
        <v>714</v>
      </c>
      <c r="C14" s="217"/>
      <c r="D14" s="217"/>
      <c r="E14" s="217"/>
      <c r="F14" s="218">
        <f t="shared" si="0"/>
        <v>0</v>
      </c>
      <c r="G14" s="219"/>
      <c r="H14" s="220"/>
      <c r="I14" s="223"/>
      <c r="J14" s="217"/>
      <c r="K14" s="217"/>
      <c r="L14" s="217"/>
      <c r="M14" s="217"/>
      <c r="N14" s="222"/>
    </row>
    <row r="15" ht="14.4" spans="1:15">
      <c r="A15" s="191"/>
      <c r="B15" s="223" t="s">
        <v>715</v>
      </c>
      <c r="C15" s="217"/>
      <c r="D15" s="217"/>
      <c r="E15" s="217"/>
      <c r="F15" s="218">
        <f t="shared" si="0"/>
        <v>0</v>
      </c>
      <c r="G15" s="219"/>
      <c r="H15" s="220"/>
      <c r="I15" s="223"/>
      <c r="J15" s="217"/>
      <c r="K15" s="217"/>
      <c r="L15" s="217"/>
      <c r="M15" s="217"/>
      <c r="N15" s="222"/>
    </row>
    <row r="16" ht="14.4" spans="1:15">
      <c r="A16" s="191"/>
      <c r="B16" s="223" t="s">
        <v>711</v>
      </c>
      <c r="C16" s="217"/>
      <c r="D16" s="217"/>
      <c r="E16" s="217"/>
      <c r="F16" s="218">
        <f t="shared" si="0"/>
        <v>0</v>
      </c>
      <c r="G16" s="219"/>
      <c r="H16" s="220"/>
      <c r="I16" s="223"/>
      <c r="J16" s="217"/>
      <c r="K16" s="217"/>
      <c r="L16" s="217"/>
      <c r="M16" s="217"/>
      <c r="N16" s="222"/>
    </row>
    <row r="17" ht="14.4" spans="1:14">
      <c r="A17" s="191"/>
      <c r="B17" s="224" t="s">
        <v>716</v>
      </c>
      <c r="C17" s="225">
        <f>SUM(C9:C16)</f>
        <v>0</v>
      </c>
      <c r="D17" s="225">
        <f t="shared" ref="D17:G17" si="2">SUM(D9:D16)</f>
        <v>0</v>
      </c>
      <c r="E17" s="225">
        <f t="shared" si="2"/>
        <v>0</v>
      </c>
      <c r="F17" s="226">
        <f t="shared" si="2"/>
        <v>0</v>
      </c>
      <c r="G17" s="227">
        <f t="shared" si="2"/>
        <v>0</v>
      </c>
      <c r="H17" s="220"/>
      <c r="I17" s="224" t="s">
        <v>716</v>
      </c>
      <c r="J17" s="225">
        <f>SUM(J9:J16)</f>
        <v>0</v>
      </c>
      <c r="K17" s="225">
        <f t="shared" ref="K17" si="3">SUM(K9:K16)</f>
        <v>0</v>
      </c>
      <c r="L17" s="225">
        <f t="shared" ref="L17:M17" si="4">SUM(L9:L16)</f>
        <v>0</v>
      </c>
      <c r="M17" s="225">
        <f t="shared" si="4"/>
        <v>0</v>
      </c>
      <c r="N17" s="228">
        <f t="shared" ref="N17" si="5">SUM(N9:N16)</f>
        <v>0</v>
      </c>
    </row>
    <row r="18" ht="14.4" spans="1:14">
      <c r="A18" s="191"/>
      <c r="B18" s="216" t="s">
        <v>717</v>
      </c>
      <c r="C18" s="217"/>
      <c r="D18" s="217"/>
      <c r="E18" s="217"/>
      <c r="F18" s="218"/>
      <c r="G18" s="219"/>
      <c r="H18" s="220"/>
      <c r="I18" s="221"/>
      <c r="J18" s="217"/>
      <c r="K18" s="217"/>
      <c r="L18" s="217"/>
      <c r="M18" s="217"/>
      <c r="N18" s="222"/>
    </row>
    <row r="19" ht="14.4" spans="1:14">
      <c r="A19" s="191"/>
      <c r="B19" s="223" t="s">
        <v>718</v>
      </c>
      <c r="C19" s="217"/>
      <c r="D19" s="217"/>
      <c r="E19" s="217"/>
      <c r="F19" s="218">
        <f t="shared" si="0"/>
        <v>0</v>
      </c>
      <c r="G19" s="219"/>
      <c r="H19" s="220"/>
      <c r="I19" s="223" t="s">
        <v>707</v>
      </c>
      <c r="J19" s="217"/>
      <c r="K19" s="217"/>
      <c r="L19" s="217"/>
      <c r="M19" s="217">
        <f t="shared" ref="M19:M20" si="6">SUM(J19+K19-L19)</f>
        <v>0</v>
      </c>
      <c r="N19" s="222"/>
    </row>
    <row r="20" ht="14.4" spans="1:14">
      <c r="A20" s="191"/>
      <c r="B20" s="223" t="s">
        <v>719</v>
      </c>
      <c r="C20" s="217"/>
      <c r="D20" s="217"/>
      <c r="E20" s="217"/>
      <c r="F20" s="218">
        <f t="shared" si="0"/>
        <v>0</v>
      </c>
      <c r="G20" s="219"/>
      <c r="H20" s="220"/>
      <c r="I20" s="223" t="s">
        <v>711</v>
      </c>
      <c r="J20" s="217"/>
      <c r="K20" s="217"/>
      <c r="L20" s="217"/>
      <c r="M20" s="217">
        <f t="shared" si="6"/>
        <v>0</v>
      </c>
      <c r="N20" s="222"/>
    </row>
    <row r="21" ht="14.4" spans="1:14">
      <c r="A21" s="191"/>
      <c r="B21" s="223" t="s">
        <v>711</v>
      </c>
      <c r="C21" s="217"/>
      <c r="D21" s="217"/>
      <c r="E21" s="217"/>
      <c r="F21" s="218">
        <f t="shared" si="0"/>
        <v>0</v>
      </c>
      <c r="G21" s="219"/>
      <c r="H21" s="220"/>
      <c r="I21" s="223"/>
      <c r="J21" s="217"/>
      <c r="K21" s="217"/>
      <c r="L21" s="217"/>
      <c r="M21" s="217"/>
      <c r="N21" s="222"/>
    </row>
    <row r="22" ht="15.15" spans="1:14">
      <c r="A22" s="191"/>
      <c r="B22" s="229" t="s">
        <v>720</v>
      </c>
      <c r="C22" s="230">
        <f>SUM(C19:C21)</f>
        <v>0</v>
      </c>
      <c r="D22" s="230">
        <f t="shared" ref="D22:G22" si="7">SUM(D19:D21)</f>
        <v>0</v>
      </c>
      <c r="E22" s="230">
        <f t="shared" si="7"/>
        <v>0</v>
      </c>
      <c r="F22" s="231">
        <f t="shared" si="7"/>
        <v>0</v>
      </c>
      <c r="G22" s="232">
        <f t="shared" si="7"/>
        <v>0</v>
      </c>
      <c r="H22" s="220"/>
      <c r="I22" s="233" t="s">
        <v>720</v>
      </c>
      <c r="J22" s="230">
        <f>SUM(J19:J21)</f>
        <v>0</v>
      </c>
      <c r="K22" s="230">
        <f t="shared" ref="K22" si="8">SUM(K19:K21)</f>
        <v>0</v>
      </c>
      <c r="L22" s="230">
        <f t="shared" ref="L22:N22" si="9">SUM(L19:L21)</f>
        <v>0</v>
      </c>
      <c r="M22" s="230">
        <f t="shared" si="9"/>
        <v>0</v>
      </c>
      <c r="N22" s="234">
        <f t="shared" si="9"/>
        <v>0</v>
      </c>
    </row>
    <row r="23" ht="15.15" spans="1:14">
      <c r="A23" s="191"/>
      <c r="B23" s="235" t="s">
        <v>169</v>
      </c>
      <c r="C23" s="236">
        <f>SUM(C17,C22)</f>
        <v>0</v>
      </c>
      <c r="D23" s="236">
        <f t="shared" ref="D23:G23" si="10">SUM(D17,D22)</f>
        <v>0</v>
      </c>
      <c r="E23" s="236">
        <f t="shared" si="10"/>
        <v>0</v>
      </c>
      <c r="F23" s="236">
        <f t="shared" si="10"/>
        <v>0</v>
      </c>
      <c r="G23" s="237">
        <f t="shared" si="10"/>
        <v>0</v>
      </c>
      <c r="H23" s="238"/>
      <c r="I23" s="237" t="s">
        <v>169</v>
      </c>
      <c r="J23" s="239">
        <f>SUM(J17,J22)</f>
        <v>0</v>
      </c>
      <c r="K23" s="236">
        <f t="shared" ref="K23" si="11">SUM(K17,K22)</f>
        <v>0</v>
      </c>
      <c r="L23" s="236">
        <f t="shared" ref="L23:N23" si="12">SUM(L17,L22)</f>
        <v>0</v>
      </c>
      <c r="M23" s="236">
        <f t="shared" si="12"/>
        <v>0</v>
      </c>
      <c r="N23" s="240">
        <f t="shared" si="12"/>
        <v>0</v>
      </c>
    </row>
    <row r="24" customHeight="1" spans="1:14">
      <c r="B24" s="135"/>
      <c r="H24" s="241"/>
    </row>
    <row r="25" s="21" customFormat="1" ht="13.2" spans="1:14">
      <c r="B25" s="138" t="s">
        <v>104</v>
      </c>
      <c r="C25" s="242"/>
      <c r="D25" s="243"/>
      <c r="E25" s="243"/>
      <c r="F25" s="244"/>
      <c r="H25" s="241"/>
    </row>
    <row r="26" s="21" customFormat="1" ht="13.2" spans="1:14">
      <c r="B26" s="138"/>
      <c r="C26" s="242"/>
      <c r="D26" s="243"/>
      <c r="E26" s="243"/>
      <c r="F26" s="244"/>
      <c r="H26" s="241"/>
    </row>
    <row r="27" ht="13.2" spans="1:14">
      <c r="B27" s="138" t="s">
        <v>105</v>
      </c>
      <c r="C27" s="138"/>
      <c r="D27" s="138"/>
      <c r="E27" s="138"/>
      <c r="H27" s="241"/>
    </row>
    <row r="28" customHeight="1" spans="1:14">
      <c r="B28" s="135"/>
      <c r="H28" s="241"/>
    </row>
    <row r="29" customHeight="1" spans="1:14">
      <c r="B29" s="139" t="s">
        <v>106</v>
      </c>
      <c r="H29" s="241"/>
      <c r="K29" s="245"/>
    </row>
    <row r="30" ht="13.2" spans="1:14">
      <c r="B30" s="140" t="s">
        <v>107</v>
      </c>
      <c r="D30" s="245"/>
      <c r="H30" s="241"/>
    </row>
    <row r="31" ht="13.2" spans="1:14">
      <c r="B31" s="141" t="s">
        <v>108</v>
      </c>
      <c r="H31" s="241"/>
    </row>
    <row r="32" ht="13.2" spans="1:14">
      <c r="B32" s="138"/>
      <c r="H32" s="241"/>
    </row>
    <row r="33" customHeight="1" spans="2:8">
      <c r="B33" s="135"/>
      <c r="H33" s="241"/>
    </row>
  </sheetData>
  <mergeCells count="4">
    <mergeCell ref="B3:M3"/>
    <mergeCell ref="B4:M4"/>
    <mergeCell ref="B6:G6"/>
    <mergeCell ref="I6:N6"/>
  </mergeCells>
  <conditionalFormatting sqref="D25:E26">
    <cfRule type="containsText" dxfId="3" priority="1" operator="between" text="control">
      <formula>NOT(ISERROR(SEARCH("control",D25)))</formula>
    </cfRule>
  </conditionalFormatting>
  <pageMargins left="0.236220472440945" right="0.236220472440945" top="0.748031496062992" bottom="0.748031496062992" header="0.31496062992126" footer="0.31496062992126"/>
  <pageSetup paperSize="9" scale="64"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H44"/>
  <sheetViews>
    <sheetView showGridLines="0" zoomScale="75" zoomScaleNormal="75" workbookViewId="0">
      <selection activeCell="B41" sqref="B41"/>
    </sheetView>
  </sheetViews>
  <sheetFormatPr defaultColWidth="11.4259259259259" defaultRowHeight="13.2" outlineLevelCol="7"/>
  <cols>
    <col min="1" max="1" width="2.71296296296296" customWidth="1"/>
    <col min="2" max="2" width="63.287037037037" customWidth="1"/>
    <col min="3" max="3" width="14.1388888888889" customWidth="1"/>
    <col min="4" max="5" width="24.287037037037" style="2" customWidth="1"/>
    <col min="6" max="6" width="4.71296296296296" customWidth="1"/>
    <col min="7" max="7" width="10.712962962963" customWidth="1"/>
    <col min="8" max="8" width="14.8518518518519" customWidth="1"/>
  </cols>
  <sheetData>
    <row r="1" ht="13.95"/>
    <row r="2" ht="13.8" spans="2:6">
      <c r="B2" s="144" t="s">
        <v>0</v>
      </c>
      <c r="C2" s="145"/>
      <c r="D2" s="146"/>
      <c r="E2" s="147" t="s">
        <v>721</v>
      </c>
    </row>
    <row r="3" ht="13.8" spans="2:6">
      <c r="B3" s="148" t="s">
        <v>722</v>
      </c>
      <c r="C3" s="81"/>
      <c r="D3" s="81"/>
      <c r="E3" s="149"/>
    </row>
    <row r="4" spans="2:6">
      <c r="B4" s="93" t="s">
        <v>274</v>
      </c>
      <c r="C4" s="84"/>
      <c r="D4" s="84"/>
      <c r="E4" s="150"/>
    </row>
    <row r="5" ht="13.95" spans="2:6">
      <c r="B5" s="93"/>
      <c r="C5" s="84"/>
      <c r="D5" s="44"/>
      <c r="E5" s="151"/>
    </row>
    <row r="6" ht="12.75" customHeight="1" spans="2:6">
      <c r="B6" s="152"/>
      <c r="C6" s="153"/>
      <c r="D6" s="154" t="s">
        <v>17</v>
      </c>
      <c r="E6" s="154" t="s">
        <v>17</v>
      </c>
    </row>
    <row r="7" ht="15.15" spans="2:6">
      <c r="B7" s="155" t="s">
        <v>723</v>
      </c>
      <c r="C7" s="156" t="s">
        <v>724</v>
      </c>
      <c r="D7" s="157"/>
      <c r="E7" s="158"/>
      <c r="F7" s="159"/>
    </row>
    <row r="8" ht="14.4" spans="2:6">
      <c r="B8" s="160" t="s">
        <v>357</v>
      </c>
      <c r="C8" s="161"/>
      <c r="D8" s="162"/>
      <c r="E8" s="163"/>
      <c r="F8" s="159"/>
    </row>
    <row r="9" ht="14.4" spans="2:6">
      <c r="B9" s="160" t="s">
        <v>725</v>
      </c>
      <c r="C9" s="161"/>
      <c r="D9" s="162"/>
      <c r="E9" s="163"/>
      <c r="F9" s="159"/>
    </row>
    <row r="10" ht="14.4" spans="2:6">
      <c r="B10" s="160" t="s">
        <v>726</v>
      </c>
      <c r="C10" s="161"/>
      <c r="D10" s="162"/>
      <c r="E10" s="163"/>
      <c r="F10" s="159"/>
    </row>
    <row r="11" ht="14.4" spans="2:6">
      <c r="B11" s="160" t="s">
        <v>727</v>
      </c>
      <c r="C11" s="161"/>
      <c r="D11" s="162"/>
      <c r="E11" s="163"/>
      <c r="F11" s="159"/>
    </row>
    <row r="12" ht="15.15" spans="2:6">
      <c r="B12" s="160" t="s">
        <v>319</v>
      </c>
      <c r="C12" s="164"/>
      <c r="D12" s="165"/>
      <c r="E12" s="158"/>
      <c r="F12" s="159"/>
    </row>
    <row r="13" ht="15.15" spans="2:6">
      <c r="B13" s="166" t="s">
        <v>728</v>
      </c>
      <c r="C13" s="167"/>
      <c r="D13" s="162">
        <f>SUM(D8:D12)</f>
        <v>0</v>
      </c>
      <c r="E13" s="158">
        <f>SUM(E8:E12)</f>
        <v>0</v>
      </c>
      <c r="F13" s="159"/>
    </row>
    <row r="14" ht="14.4" spans="2:6">
      <c r="B14" s="168" t="s">
        <v>729</v>
      </c>
      <c r="C14" s="161"/>
      <c r="D14" s="169"/>
      <c r="E14" s="163"/>
      <c r="F14" s="159"/>
    </row>
    <row r="15" ht="14.4" spans="2:6">
      <c r="B15" s="170" t="s">
        <v>730</v>
      </c>
      <c r="C15" s="171"/>
      <c r="D15" s="172"/>
      <c r="E15" s="163"/>
      <c r="F15" s="159"/>
    </row>
    <row r="16" ht="14.4" spans="2:6">
      <c r="B16" s="173" t="s">
        <v>357</v>
      </c>
      <c r="C16" s="161"/>
      <c r="D16" s="172"/>
      <c r="E16" s="163"/>
      <c r="F16" s="159"/>
    </row>
    <row r="17" ht="14.4" spans="2:8">
      <c r="B17" s="173" t="s">
        <v>725</v>
      </c>
      <c r="C17" s="161"/>
      <c r="D17" s="172"/>
      <c r="E17" s="163"/>
      <c r="F17" s="159"/>
    </row>
    <row r="18" ht="14.4" spans="2:8">
      <c r="B18" s="173" t="s">
        <v>319</v>
      </c>
      <c r="C18" s="161"/>
      <c r="D18" s="172"/>
      <c r="E18" s="163"/>
      <c r="F18" s="159"/>
    </row>
    <row r="19" ht="14.4" spans="2:8">
      <c r="B19" s="173" t="s">
        <v>731</v>
      </c>
      <c r="C19" s="171" t="s">
        <v>732</v>
      </c>
      <c r="D19" s="172"/>
      <c r="E19" s="163"/>
      <c r="F19" s="159"/>
    </row>
    <row r="20" ht="14.4" spans="2:8">
      <c r="B20" s="173" t="s">
        <v>733</v>
      </c>
      <c r="C20" s="161"/>
      <c r="D20" s="172"/>
      <c r="E20" s="163"/>
      <c r="F20" s="159"/>
    </row>
    <row r="21" ht="14.4" spans="2:8">
      <c r="B21" s="173" t="s">
        <v>734</v>
      </c>
      <c r="C21" s="161"/>
      <c r="D21" s="172"/>
      <c r="E21" s="163"/>
      <c r="F21" s="159"/>
    </row>
    <row r="22" ht="15.15" spans="2:8">
      <c r="B22" s="173" t="s">
        <v>735</v>
      </c>
      <c r="C22" s="164"/>
      <c r="D22" s="174"/>
      <c r="E22" s="158"/>
      <c r="F22" s="159"/>
    </row>
    <row r="23" ht="15.15" spans="2:8">
      <c r="B23" s="175" t="s">
        <v>736</v>
      </c>
      <c r="C23" s="167" t="s">
        <v>724</v>
      </c>
      <c r="D23" s="165">
        <f>SUM(D16:D21)</f>
        <v>0</v>
      </c>
      <c r="E23" s="158">
        <f>SUM(E16:E21)</f>
        <v>0</v>
      </c>
      <c r="F23" s="159"/>
    </row>
    <row r="24" ht="14.4" spans="2:8">
      <c r="B24" s="160" t="s">
        <v>357</v>
      </c>
      <c r="C24" s="161"/>
      <c r="D24" s="162"/>
      <c r="E24" s="163"/>
      <c r="F24" s="159"/>
    </row>
    <row r="25" ht="14.4" spans="2:8">
      <c r="B25" s="160" t="s">
        <v>725</v>
      </c>
      <c r="C25" s="161"/>
      <c r="D25" s="162"/>
      <c r="E25" s="163"/>
      <c r="F25" s="159"/>
    </row>
    <row r="26" s="143" customFormat="1" ht="14.4" spans="2:8">
      <c r="B26" s="160" t="s">
        <v>726</v>
      </c>
      <c r="C26" s="161"/>
      <c r="D26" s="162"/>
      <c r="E26" s="163"/>
      <c r="F26" s="135"/>
    </row>
    <row r="27" s="143" customFormat="1" ht="14.4" spans="2:8">
      <c r="B27" s="160" t="s">
        <v>727</v>
      </c>
      <c r="C27" s="161"/>
      <c r="D27" s="162"/>
      <c r="E27" s="163"/>
      <c r="F27" s="135"/>
    </row>
    <row r="28" s="143" customFormat="1" ht="15.15" spans="2:8">
      <c r="B28" s="160" t="s">
        <v>319</v>
      </c>
      <c r="C28" s="164"/>
      <c r="D28" s="162"/>
      <c r="E28" s="163"/>
      <c r="F28" s="135"/>
    </row>
    <row r="29" s="143" customFormat="1" ht="15.15" spans="2:8">
      <c r="B29" s="176" t="s">
        <v>737</v>
      </c>
      <c r="C29" s="167"/>
      <c r="D29" s="177">
        <f>SUM(D24:D28)</f>
        <v>0</v>
      </c>
      <c r="E29" s="178">
        <f>SUM(E24:E28)</f>
        <v>0</v>
      </c>
      <c r="F29" s="135"/>
    </row>
    <row r="30" s="143" customFormat="1" ht="15.15" spans="2:8">
      <c r="B30" s="176" t="s">
        <v>738</v>
      </c>
      <c r="C30" s="167"/>
      <c r="D30" s="177">
        <f>D13+D23-D29</f>
        <v>0</v>
      </c>
      <c r="E30" s="179">
        <f>E13+E23-E29</f>
        <v>0</v>
      </c>
      <c r="F30" s="135"/>
    </row>
    <row r="31" s="143" customFormat="1" ht="15.15" spans="2:8">
      <c r="B31" s="176" t="s">
        <v>739</v>
      </c>
      <c r="C31" s="180" t="s">
        <v>117</v>
      </c>
      <c r="D31" s="181"/>
      <c r="E31" s="182"/>
      <c r="F31" s="135"/>
    </row>
    <row r="32" s="143" customFormat="1" ht="14.55" spans="2:8">
      <c r="B32" s="176" t="s">
        <v>740</v>
      </c>
      <c r="C32" s="167"/>
      <c r="D32" s="183">
        <f>D30+D31</f>
        <v>0</v>
      </c>
      <c r="E32" s="184">
        <f>E30+E31</f>
        <v>0</v>
      </c>
      <c r="F32" s="135"/>
      <c r="H32" s="185"/>
    </row>
    <row r="33" spans="2:8">
      <c r="B33" s="186" t="s">
        <v>104</v>
      </c>
      <c r="C33" s="186"/>
      <c r="H33" s="185"/>
    </row>
    <row r="34" s="140" customFormat="1" spans="2:8">
      <c r="B34" s="187" t="s">
        <v>741</v>
      </c>
      <c r="D34" s="29"/>
      <c r="E34" s="29"/>
      <c r="H34" s="188"/>
    </row>
    <row r="35" s="140" customFormat="1" spans="2:8">
      <c r="B35" s="187" t="s">
        <v>742</v>
      </c>
      <c r="C35" s="187"/>
      <c r="D35" s="29"/>
      <c r="E35" s="29"/>
      <c r="H35" s="188"/>
    </row>
    <row r="36" spans="2:8">
      <c r="H36" s="185"/>
    </row>
    <row r="37" spans="2:8">
      <c r="B37" s="138" t="s">
        <v>105</v>
      </c>
      <c r="C37" s="189"/>
      <c r="D37" s="190"/>
    </row>
    <row r="38" spans="2:8">
      <c r="B38" s="135"/>
    </row>
    <row r="39" spans="2:8">
      <c r="B39" s="139" t="s">
        <v>106</v>
      </c>
    </row>
    <row r="40" spans="2:8">
      <c r="B40" s="140" t="s">
        <v>107</v>
      </c>
    </row>
    <row r="41" spans="2:8">
      <c r="B41" s="141" t="s">
        <v>108</v>
      </c>
    </row>
    <row r="42" spans="2:8">
      <c r="B42" s="138"/>
    </row>
    <row r="43" spans="2:8">
      <c r="B43" s="135"/>
    </row>
    <row r="44" spans="2:8">
      <c r="B44" s="142"/>
    </row>
  </sheetData>
  <mergeCells count="2">
    <mergeCell ref="B3:E3"/>
    <mergeCell ref="B4:E4"/>
  </mergeCells>
  <printOptions horizontalCentered="1"/>
  <pageMargins left="0.590551181102362" right="0.196850393700787" top="1.18110236220472" bottom="1.18110236220472" header="0" footer="0.984251968503937"/>
  <pageSetup paperSize="9" scale="72" orientation="portrait" blackAndWhite="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38"/>
  <sheetViews>
    <sheetView showGridLines="0" zoomScale="75" zoomScaleNormal="75" workbookViewId="0">
      <selection activeCell="B35" sqref="B35"/>
    </sheetView>
  </sheetViews>
  <sheetFormatPr defaultColWidth="11.4259259259259" defaultRowHeight="13.2"/>
  <cols>
    <col min="1" max="1" width="3" customWidth="1"/>
    <col min="2" max="2" width="47.1388888888889" customWidth="1"/>
    <col min="3" max="3" width="14" customWidth="1"/>
    <col min="4" max="4" width="26" customWidth="1"/>
    <col min="5" max="5" width="20.1388888888889" customWidth="1"/>
    <col min="6" max="6" width="17.287037037037" customWidth="1"/>
    <col min="7" max="7" width="12.8518518518519" customWidth="1"/>
    <col min="8" max="8" width="8.85185185185185" customWidth="1"/>
    <col min="9" max="9" width="14" customWidth="1"/>
    <col min="10" max="10" width="3.71296296296296" customWidth="1"/>
  </cols>
  <sheetData>
    <row r="1" ht="13.95"/>
    <row r="2" ht="13.8" spans="2:9">
      <c r="B2" s="77" t="s">
        <v>0</v>
      </c>
      <c r="C2" s="78"/>
      <c r="D2" s="78"/>
      <c r="E2" s="78"/>
      <c r="F2" s="78"/>
      <c r="G2" s="78"/>
      <c r="H2" s="78"/>
      <c r="I2" s="79" t="s">
        <v>743</v>
      </c>
    </row>
    <row r="3" ht="13.8" spans="2:9">
      <c r="B3" s="80" t="s">
        <v>744</v>
      </c>
      <c r="C3" s="81"/>
      <c r="D3" s="81"/>
      <c r="E3" s="81"/>
      <c r="F3" s="81"/>
      <c r="G3" s="81"/>
      <c r="H3" s="81"/>
      <c r="I3" s="82"/>
    </row>
    <row r="4" spans="2:9">
      <c r="B4" s="83" t="s">
        <v>274</v>
      </c>
      <c r="C4" s="84"/>
      <c r="D4" s="84"/>
      <c r="E4" s="84"/>
      <c r="F4" s="84"/>
      <c r="G4" s="84"/>
      <c r="H4" s="84"/>
      <c r="I4" s="85"/>
    </row>
    <row r="5" ht="13.95" spans="2:9">
      <c r="B5" s="86" t="s">
        <v>745</v>
      </c>
      <c r="C5" s="87"/>
      <c r="D5" s="87"/>
      <c r="E5" s="87"/>
      <c r="F5" s="87"/>
      <c r="G5" s="87"/>
      <c r="H5" s="87"/>
      <c r="I5" s="88"/>
    </row>
    <row r="6" ht="13.95" spans="2:9">
      <c r="B6" s="89"/>
      <c r="C6" s="90" t="s">
        <v>17</v>
      </c>
      <c r="D6" s="91"/>
      <c r="E6" s="91"/>
      <c r="F6" s="91"/>
      <c r="G6" s="91"/>
      <c r="H6" s="92"/>
      <c r="I6" s="92" t="s">
        <v>17</v>
      </c>
    </row>
    <row r="7" ht="13.95" spans="2:9">
      <c r="B7" s="93" t="s">
        <v>140</v>
      </c>
      <c r="C7" s="94" t="s">
        <v>746</v>
      </c>
      <c r="D7" s="92" t="s">
        <v>747</v>
      </c>
      <c r="E7" s="92" t="s">
        <v>748</v>
      </c>
      <c r="F7" s="92" t="s">
        <v>749</v>
      </c>
      <c r="G7" s="95" t="s">
        <v>750</v>
      </c>
      <c r="H7" s="96" t="s">
        <v>751</v>
      </c>
      <c r="I7" s="97"/>
    </row>
    <row r="8" s="75" customFormat="1" ht="15.75" spans="2:9">
      <c r="B8" s="98"/>
      <c r="C8" s="99"/>
      <c r="D8" s="97"/>
      <c r="E8" s="97"/>
      <c r="F8" s="97"/>
      <c r="G8" s="91"/>
      <c r="H8" s="99"/>
      <c r="I8" s="100" t="s">
        <v>751</v>
      </c>
    </row>
    <row r="9" s="75" customFormat="1" ht="15" spans="2:9">
      <c r="B9" s="101" t="s">
        <v>752</v>
      </c>
      <c r="C9" s="102"/>
      <c r="D9" s="103"/>
      <c r="E9" s="102"/>
      <c r="F9" s="102"/>
      <c r="G9" s="104"/>
      <c r="H9" s="105">
        <f>SUM(C9:G9)</f>
        <v>0</v>
      </c>
      <c r="I9" s="106"/>
    </row>
    <row r="10" s="75" customFormat="1" ht="15" spans="2:9">
      <c r="B10" s="107" t="s">
        <v>753</v>
      </c>
      <c r="C10" s="108"/>
      <c r="D10" s="109"/>
      <c r="E10" s="108"/>
      <c r="F10" s="108"/>
      <c r="G10" s="110"/>
      <c r="H10" s="111">
        <f t="shared" ref="H10:H25" si="0">SUM(C10:G10)</f>
        <v>0</v>
      </c>
      <c r="I10" s="112"/>
    </row>
    <row r="11" s="75" customFormat="1" ht="15" spans="2:9">
      <c r="B11" s="101" t="s">
        <v>754</v>
      </c>
      <c r="C11" s="102"/>
      <c r="D11" s="103"/>
      <c r="E11" s="102"/>
      <c r="F11" s="102"/>
      <c r="G11" s="104"/>
      <c r="H11" s="105">
        <f t="shared" si="0"/>
        <v>0</v>
      </c>
      <c r="I11" s="106"/>
    </row>
    <row r="12" s="75" customFormat="1" ht="15" spans="2:9">
      <c r="B12" s="107" t="s">
        <v>755</v>
      </c>
      <c r="C12" s="108"/>
      <c r="D12" s="109"/>
      <c r="E12" s="108"/>
      <c r="F12" s="108"/>
      <c r="G12" s="110"/>
      <c r="H12" s="111">
        <f t="shared" si="0"/>
        <v>0</v>
      </c>
      <c r="I12" s="112"/>
    </row>
    <row r="13" s="75" customFormat="1" ht="15" spans="2:9">
      <c r="B13" s="101" t="s">
        <v>756</v>
      </c>
      <c r="C13" s="102"/>
      <c r="D13" s="103"/>
      <c r="E13" s="102"/>
      <c r="F13" s="102"/>
      <c r="G13" s="104"/>
      <c r="H13" s="105">
        <f t="shared" si="0"/>
        <v>0</v>
      </c>
      <c r="I13" s="106"/>
    </row>
    <row r="14" s="75" customFormat="1" ht="15" spans="2:9">
      <c r="B14" s="107" t="s">
        <v>757</v>
      </c>
      <c r="C14" s="108"/>
      <c r="D14" s="109"/>
      <c r="E14" s="108"/>
      <c r="F14" s="108"/>
      <c r="G14" s="110"/>
      <c r="H14" s="111">
        <f t="shared" si="0"/>
        <v>0</v>
      </c>
      <c r="I14" s="112"/>
    </row>
    <row r="15" s="75" customFormat="1" ht="15" spans="2:9">
      <c r="B15" s="101" t="s">
        <v>758</v>
      </c>
      <c r="C15" s="102"/>
      <c r="D15" s="103"/>
      <c r="E15" s="102"/>
      <c r="F15" s="102"/>
      <c r="G15" s="104"/>
      <c r="H15" s="105">
        <f t="shared" si="0"/>
        <v>0</v>
      </c>
      <c r="I15" s="106"/>
    </row>
    <row r="16" s="75" customFormat="1" ht="15" spans="2:9">
      <c r="B16" s="107" t="s">
        <v>759</v>
      </c>
      <c r="C16" s="108"/>
      <c r="D16" s="109"/>
      <c r="E16" s="108"/>
      <c r="F16" s="108"/>
      <c r="G16" s="110"/>
      <c r="H16" s="111">
        <f t="shared" si="0"/>
        <v>0</v>
      </c>
      <c r="I16" s="112"/>
    </row>
    <row r="17" s="75" customFormat="1" ht="15" spans="2:9">
      <c r="B17" s="101" t="s">
        <v>760</v>
      </c>
      <c r="C17" s="102"/>
      <c r="D17" s="103"/>
      <c r="E17" s="102"/>
      <c r="F17" s="102"/>
      <c r="G17" s="104"/>
      <c r="H17" s="105">
        <f t="shared" si="0"/>
        <v>0</v>
      </c>
      <c r="I17" s="106"/>
    </row>
    <row r="18" s="75" customFormat="1" ht="15" spans="2:9">
      <c r="B18" s="107" t="s">
        <v>761</v>
      </c>
      <c r="C18" s="108"/>
      <c r="D18" s="109"/>
      <c r="E18" s="108"/>
      <c r="F18" s="108"/>
      <c r="G18" s="110"/>
      <c r="H18" s="111">
        <f t="shared" si="0"/>
        <v>0</v>
      </c>
      <c r="I18" s="112"/>
    </row>
    <row r="19" s="75" customFormat="1" ht="15" spans="2:9">
      <c r="B19" s="101" t="s">
        <v>762</v>
      </c>
      <c r="C19" s="102"/>
      <c r="D19" s="103"/>
      <c r="E19" s="102"/>
      <c r="F19" s="102"/>
      <c r="G19" s="104"/>
      <c r="H19" s="105">
        <f t="shared" si="0"/>
        <v>0</v>
      </c>
      <c r="I19" s="106"/>
    </row>
    <row r="20" ht="14.4" spans="2:9">
      <c r="B20" s="107" t="s">
        <v>763</v>
      </c>
      <c r="C20" s="108"/>
      <c r="D20" s="109"/>
      <c r="E20" s="108"/>
      <c r="F20" s="108"/>
      <c r="G20" s="110"/>
      <c r="H20" s="111">
        <f t="shared" si="0"/>
        <v>0</v>
      </c>
      <c r="I20" s="112"/>
    </row>
    <row r="21" ht="14.4" spans="2:9">
      <c r="B21" s="107" t="s">
        <v>764</v>
      </c>
      <c r="C21" s="102"/>
      <c r="D21" s="103"/>
      <c r="E21" s="102"/>
      <c r="F21" s="102"/>
      <c r="G21" s="104"/>
      <c r="H21" s="105">
        <f t="shared" si="0"/>
        <v>0</v>
      </c>
      <c r="I21" s="106"/>
    </row>
    <row r="22" ht="14.4" spans="2:9">
      <c r="B22" s="107" t="s">
        <v>765</v>
      </c>
      <c r="C22" s="108"/>
      <c r="D22" s="109"/>
      <c r="E22" s="108"/>
      <c r="F22" s="108"/>
      <c r="G22" s="110"/>
      <c r="H22" s="111">
        <f t="shared" si="0"/>
        <v>0</v>
      </c>
      <c r="I22" s="112"/>
    </row>
    <row r="23" s="76" customFormat="1" ht="15.6" spans="2:9">
      <c r="B23" s="107" t="s">
        <v>766</v>
      </c>
      <c r="C23" s="102"/>
      <c r="D23" s="103"/>
      <c r="E23" s="102"/>
      <c r="F23" s="102"/>
      <c r="G23" s="113"/>
      <c r="H23" s="105">
        <f t="shared" si="0"/>
        <v>0</v>
      </c>
      <c r="I23" s="106"/>
    </row>
    <row r="24" s="76" customFormat="1" ht="15.6" spans="2:9">
      <c r="B24" s="107" t="s">
        <v>767</v>
      </c>
      <c r="C24" s="114"/>
      <c r="D24" s="115"/>
      <c r="E24" s="116"/>
      <c r="F24" s="116"/>
      <c r="G24" s="117"/>
      <c r="H24" s="118">
        <f t="shared" si="0"/>
        <v>0</v>
      </c>
      <c r="I24" s="119"/>
    </row>
    <row r="25" s="75" customFormat="1" ht="15.75" spans="2:9">
      <c r="B25" s="107" t="s">
        <v>208</v>
      </c>
      <c r="C25" s="120"/>
      <c r="D25" s="121"/>
      <c r="E25" s="120"/>
      <c r="F25" s="120"/>
      <c r="G25" s="122"/>
      <c r="H25" s="123">
        <f t="shared" si="0"/>
        <v>0</v>
      </c>
      <c r="I25" s="124"/>
    </row>
    <row r="26" ht="13.95" spans="2:9">
      <c r="B26" s="125" t="s">
        <v>768</v>
      </c>
      <c r="C26" s="126">
        <f>SUM(C9:C25)</f>
        <v>0</v>
      </c>
      <c r="D26" s="127">
        <f t="shared" ref="D26:I26" si="1">SUM(D9:D25)</f>
        <v>0</v>
      </c>
      <c r="E26" s="127">
        <f t="shared" si="1"/>
        <v>0</v>
      </c>
      <c r="F26" s="127">
        <f t="shared" si="1"/>
        <v>0</v>
      </c>
      <c r="G26" s="128">
        <f t="shared" si="1"/>
        <v>0</v>
      </c>
      <c r="H26" s="129">
        <f t="shared" si="1"/>
        <v>0</v>
      </c>
      <c r="I26" s="130">
        <f t="shared" si="1"/>
        <v>0</v>
      </c>
    </row>
    <row r="27" ht="13.95" spans="2:9">
      <c r="B27" s="131" t="s">
        <v>769</v>
      </c>
      <c r="C27" s="132"/>
      <c r="D27" s="132"/>
      <c r="E27" s="132"/>
      <c r="F27" s="132"/>
      <c r="G27" s="133"/>
      <c r="H27" s="130">
        <f>SUM(C27:G27)</f>
        <v>0</v>
      </c>
      <c r="I27" s="134"/>
    </row>
    <row r="28" s="75" customFormat="1" ht="15" spans="2:9">
      <c r="B28" s="135" t="s">
        <v>104</v>
      </c>
      <c r="C28" s="136"/>
      <c r="D28" s="136"/>
      <c r="E28" s="136"/>
      <c r="F28" s="136"/>
      <c r="G28" s="136"/>
      <c r="H28" s="136"/>
      <c r="I28" s="135"/>
    </row>
    <row r="29" s="75" customFormat="1" ht="15" spans="2:9">
      <c r="B29" s="137"/>
      <c r="C29"/>
      <c r="D29"/>
      <c r="E29"/>
      <c r="F29"/>
      <c r="G29"/>
      <c r="H29"/>
      <c r="I29"/>
    </row>
    <row r="30" s="75" customFormat="1" ht="15" spans="2:9">
      <c r="B30"/>
    </row>
    <row r="31" spans="2:9">
      <c r="B31" s="138" t="s">
        <v>105</v>
      </c>
    </row>
    <row r="32" spans="2:9">
      <c r="B32" s="135"/>
    </row>
    <row r="33" spans="2:2">
      <c r="B33" s="139" t="s">
        <v>106</v>
      </c>
    </row>
    <row r="34" spans="2:2">
      <c r="B34" s="140" t="s">
        <v>107</v>
      </c>
    </row>
    <row r="35" spans="2:2">
      <c r="B35" s="141" t="s">
        <v>108</v>
      </c>
    </row>
    <row r="36" spans="2:2">
      <c r="B36" s="138"/>
    </row>
    <row r="37" spans="2:2">
      <c r="B37" s="135"/>
    </row>
    <row r="38" spans="2:2">
      <c r="B38" s="142"/>
    </row>
  </sheetData>
  <mergeCells count="11">
    <mergeCell ref="B3:I3"/>
    <mergeCell ref="B4:I4"/>
    <mergeCell ref="B5:I5"/>
    <mergeCell ref="C6:H6"/>
    <mergeCell ref="C7:C8"/>
    <mergeCell ref="D7:D8"/>
    <mergeCell ref="E7:E8"/>
    <mergeCell ref="F7:F8"/>
    <mergeCell ref="G7:G8"/>
    <mergeCell ref="H7:H8"/>
    <mergeCell ref="I6:I7"/>
  </mergeCells>
  <printOptions horizontalCentered="1"/>
  <pageMargins left="0.393700787401575" right="0.196850393700787" top="0.78740157480315" bottom="1.18110236220472" header="0" footer="0.984251968503937"/>
  <pageSetup paperSize="9" scale="86" orientation="landscape" blackAndWhite="1"/>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32"/>
  <sheetViews>
    <sheetView zoomScale="75" zoomScaleNormal="75" workbookViewId="0">
      <selection activeCell="G12" sqref="G12"/>
    </sheetView>
  </sheetViews>
  <sheetFormatPr defaultColWidth="9.13888888888889" defaultRowHeight="13.2"/>
  <cols>
    <col min="1" max="1" width="2.85185185185185" style="21" customWidth="1"/>
    <col min="2" max="2" width="25.287037037037" style="21" customWidth="1"/>
    <col min="3" max="3" width="14.5740740740741" style="21" customWidth="1"/>
    <col min="4" max="4" width="14.4259259259259" style="21" customWidth="1"/>
    <col min="5" max="6" width="14.287037037037" style="21" customWidth="1"/>
    <col min="7" max="7" width="14.5740740740741" style="21" customWidth="1"/>
    <col min="8" max="8" width="14.4259259259259" style="21" customWidth="1"/>
    <col min="9" max="9" width="4.13888888888889" style="21" customWidth="1"/>
    <col min="10" max="16384" width="9.13888888888889" style="21"/>
  </cols>
  <sheetData>
    <row r="1" ht="13.95"/>
    <row r="2" ht="13.8" spans="2:8">
      <c r="B2" s="3" t="s">
        <v>0</v>
      </c>
      <c r="C2" s="37"/>
      <c r="D2" s="37"/>
      <c r="E2" s="38"/>
      <c r="F2" s="38"/>
      <c r="G2" s="38"/>
      <c r="H2" s="39" t="s">
        <v>770</v>
      </c>
    </row>
    <row r="3" ht="13.8" spans="2:8">
      <c r="B3" s="40" t="s">
        <v>771</v>
      </c>
      <c r="C3" s="41"/>
      <c r="D3" s="41"/>
      <c r="E3" s="41"/>
      <c r="F3" s="41"/>
      <c r="G3" s="41"/>
      <c r="H3" s="42"/>
    </row>
    <row r="4" spans="2:8">
      <c r="B4" s="43" t="s">
        <v>274</v>
      </c>
      <c r="C4" s="44"/>
      <c r="D4" s="44"/>
      <c r="E4" s="44"/>
      <c r="F4" s="44"/>
      <c r="G4" s="44"/>
      <c r="H4" s="45"/>
    </row>
    <row r="5" ht="13.95" spans="2:8">
      <c r="B5" s="43" t="s">
        <v>772</v>
      </c>
      <c r="C5" s="44"/>
      <c r="D5" s="44"/>
      <c r="E5" s="44"/>
      <c r="F5" s="44"/>
      <c r="G5" s="44"/>
      <c r="H5" s="45"/>
    </row>
    <row r="6" ht="13.95" spans="2:8">
      <c r="B6" s="46" t="s">
        <v>773</v>
      </c>
      <c r="C6" s="47" t="s">
        <v>774</v>
      </c>
      <c r="D6" s="48"/>
      <c r="E6" s="48"/>
      <c r="F6" s="48"/>
      <c r="G6" s="48"/>
      <c r="H6" s="49"/>
    </row>
    <row r="7" ht="40.35" spans="2:8">
      <c r="B7" s="50" t="s">
        <v>775</v>
      </c>
      <c r="C7" s="51" t="s">
        <v>776</v>
      </c>
      <c r="D7" s="51" t="s">
        <v>777</v>
      </c>
      <c r="E7" s="51" t="s">
        <v>778</v>
      </c>
      <c r="F7" s="51" t="s">
        <v>779</v>
      </c>
      <c r="G7" s="51" t="s">
        <v>780</v>
      </c>
      <c r="H7" s="52" t="s">
        <v>781</v>
      </c>
    </row>
    <row r="8" ht="12.75" customHeight="1" spans="2:8">
      <c r="B8" s="53"/>
      <c r="C8" s="54" t="s">
        <v>604</v>
      </c>
      <c r="D8" s="55"/>
      <c r="E8" s="55"/>
      <c r="F8" s="55"/>
      <c r="G8" s="55"/>
      <c r="H8" s="56"/>
    </row>
    <row r="9" spans="2:8">
      <c r="B9" s="57" t="s">
        <v>782</v>
      </c>
      <c r="C9" s="58"/>
      <c r="D9" s="59"/>
      <c r="E9" s="59"/>
      <c r="F9" s="59"/>
      <c r="G9" s="59"/>
      <c r="H9" s="60"/>
    </row>
    <row r="10" spans="2:8">
      <c r="B10" s="57" t="s">
        <v>783</v>
      </c>
      <c r="C10" s="61"/>
      <c r="D10" s="62"/>
      <c r="E10" s="62"/>
      <c r="F10" s="62"/>
      <c r="G10" s="62"/>
      <c r="H10" s="63"/>
    </row>
    <row r="11" spans="2:8">
      <c r="B11" s="57" t="s">
        <v>784</v>
      </c>
      <c r="C11" s="61"/>
      <c r="D11" s="62"/>
      <c r="E11" s="62"/>
      <c r="F11" s="62"/>
      <c r="G11" s="62"/>
      <c r="H11" s="63"/>
    </row>
    <row r="12" spans="2:8">
      <c r="B12" s="57" t="s">
        <v>785</v>
      </c>
      <c r="C12" s="61"/>
      <c r="D12" s="62"/>
      <c r="E12" s="62"/>
      <c r="F12" s="62"/>
      <c r="G12" s="62"/>
      <c r="H12" s="63"/>
    </row>
    <row r="13" ht="13.95" spans="2:8">
      <c r="B13" s="64"/>
      <c r="C13" s="65"/>
      <c r="D13" s="66"/>
      <c r="E13" s="66"/>
      <c r="F13" s="66"/>
      <c r="G13" s="66"/>
      <c r="H13" s="67"/>
    </row>
    <row r="14" ht="13.95" spans="2:8">
      <c r="B14" s="68" t="s">
        <v>169</v>
      </c>
      <c r="C14" s="69">
        <f>SUM(C9:C13)</f>
        <v>0</v>
      </c>
      <c r="D14" s="69">
        <f t="shared" ref="D14:H14" si="0">SUM(D9:D13)</f>
        <v>0</v>
      </c>
      <c r="E14" s="69">
        <f t="shared" si="0"/>
        <v>0</v>
      </c>
      <c r="F14" s="69">
        <f t="shared" si="0"/>
        <v>0</v>
      </c>
      <c r="G14" s="69">
        <f t="shared" si="0"/>
        <v>0</v>
      </c>
      <c r="H14" s="69">
        <f t="shared" si="0"/>
        <v>0</v>
      </c>
    </row>
    <row r="15" ht="13.95" spans="2:8">
      <c r="B15" s="70"/>
      <c r="C15" s="71" t="s">
        <v>634</v>
      </c>
      <c r="D15" s="72"/>
      <c r="E15" s="72"/>
      <c r="F15" s="72"/>
      <c r="G15" s="72"/>
      <c r="H15" s="73"/>
    </row>
    <row r="16" spans="2:8">
      <c r="B16" s="57" t="s">
        <v>782</v>
      </c>
      <c r="C16" s="58"/>
      <c r="D16" s="59"/>
      <c r="E16" s="59"/>
      <c r="F16" s="59"/>
      <c r="G16" s="59"/>
      <c r="H16" s="60"/>
    </row>
    <row r="17" spans="2:9">
      <c r="B17" s="57" t="s">
        <v>783</v>
      </c>
      <c r="C17" s="61"/>
      <c r="D17" s="62"/>
      <c r="E17" s="62"/>
      <c r="F17" s="62"/>
      <c r="G17" s="62"/>
      <c r="H17" s="63"/>
    </row>
    <row r="18" spans="2:9">
      <c r="B18" s="57" t="s">
        <v>784</v>
      </c>
      <c r="C18" s="61"/>
      <c r="D18" s="62"/>
      <c r="E18" s="62"/>
      <c r="F18" s="62"/>
      <c r="G18" s="62"/>
      <c r="H18" s="63"/>
    </row>
    <row r="19" spans="2:9">
      <c r="B19" s="57" t="s">
        <v>785</v>
      </c>
      <c r="C19" s="61"/>
      <c r="D19" s="62"/>
      <c r="E19" s="62"/>
      <c r="F19" s="62"/>
      <c r="G19" s="62"/>
      <c r="H19" s="63"/>
    </row>
    <row r="20" ht="13.95" spans="2:9">
      <c r="B20" s="74"/>
      <c r="C20" s="65"/>
      <c r="D20" s="66"/>
      <c r="E20" s="66"/>
      <c r="F20" s="66"/>
      <c r="G20" s="66"/>
      <c r="H20" s="67"/>
    </row>
    <row r="21" ht="13.95" spans="2:9">
      <c r="B21" s="68" t="s">
        <v>169</v>
      </c>
      <c r="C21" s="69">
        <f>SUM(C16:C20)</f>
        <v>0</v>
      </c>
      <c r="D21" s="69">
        <f t="shared" ref="D21:H21" si="1">SUM(D16:D20)</f>
        <v>0</v>
      </c>
      <c r="E21" s="69">
        <f t="shared" si="1"/>
        <v>0</v>
      </c>
      <c r="F21" s="69">
        <f t="shared" si="1"/>
        <v>0</v>
      </c>
      <c r="G21" s="69">
        <f t="shared" si="1"/>
        <v>0</v>
      </c>
      <c r="H21" s="69">
        <f t="shared" si="1"/>
        <v>0</v>
      </c>
    </row>
    <row r="23" s="36" customFormat="1" ht="24.75" customHeight="1" spans="2:9">
      <c r="B23" s="30" t="s">
        <v>786</v>
      </c>
      <c r="C23" s="30"/>
      <c r="D23" s="30"/>
      <c r="E23" s="30"/>
      <c r="F23" s="30"/>
      <c r="G23" s="30"/>
      <c r="H23" s="30"/>
    </row>
    <row r="24" s="36" customFormat="1" ht="29.25" customHeight="1" spans="2:9">
      <c r="B24" s="30" t="s">
        <v>787</v>
      </c>
      <c r="C24" s="30"/>
      <c r="D24" s="30"/>
      <c r="E24" s="30"/>
      <c r="F24" s="30"/>
      <c r="G24" s="30"/>
      <c r="H24" s="30"/>
    </row>
    <row r="25" s="1" customFormat="1" ht="15" spans="2:9">
      <c r="B25" s="21" t="s">
        <v>104</v>
      </c>
      <c r="C25" s="31"/>
      <c r="D25" s="31"/>
      <c r="E25" s="31"/>
      <c r="F25" s="31"/>
      <c r="G25" s="31"/>
      <c r="H25" s="31"/>
      <c r="I25" s="21"/>
    </row>
    <row r="27" spans="2:9">
      <c r="B27" s="33" t="s">
        <v>105</v>
      </c>
    </row>
    <row r="29" spans="2:9">
      <c r="B29" s="34" t="s">
        <v>106</v>
      </c>
    </row>
    <row r="30" spans="2:9">
      <c r="B30" s="29" t="s">
        <v>107</v>
      </c>
    </row>
    <row r="31" spans="2:9">
      <c r="B31" s="35" t="s">
        <v>108</v>
      </c>
    </row>
    <row r="32" spans="2:9">
      <c r="B32" s="33"/>
    </row>
  </sheetData>
  <mergeCells count="8">
    <mergeCell ref="B3:H3"/>
    <mergeCell ref="B4:H4"/>
    <mergeCell ref="B5:H5"/>
    <mergeCell ref="C6:H6"/>
    <mergeCell ref="C8:H8"/>
    <mergeCell ref="C15:H15"/>
    <mergeCell ref="B23:H23"/>
    <mergeCell ref="B24:H24"/>
  </mergeCells>
  <pageMargins left="0.7" right="0.7" top="0.75" bottom="0.75" header="0.3" footer="0.3"/>
  <pageSetup paperSize="9"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25"/>
  <sheetViews>
    <sheetView zoomScale="75" zoomScaleNormal="75" workbookViewId="0">
      <selection activeCell="B22" sqref="B22"/>
    </sheetView>
  </sheetViews>
  <sheetFormatPr defaultColWidth="9.13888888888889" defaultRowHeight="13.2"/>
  <cols>
    <col min="1" max="1" width="2.85185185185185" style="2" customWidth="1"/>
    <col min="2" max="2" width="34.4259259259259" style="2" customWidth="1"/>
    <col min="3" max="3" width="22" style="2" customWidth="1"/>
    <col min="4" max="4" width="22.8518518518519" style="2" customWidth="1"/>
    <col min="5" max="5" width="3.57407407407407" style="2" customWidth="1"/>
    <col min="6" max="16384" width="9.13888888888889" style="2"/>
  </cols>
  <sheetData>
    <row r="1" ht="13.95"/>
    <row r="2" ht="13.8" spans="2:9">
      <c r="B2" s="3" t="s">
        <v>0</v>
      </c>
      <c r="C2" s="4"/>
      <c r="D2" s="5" t="s">
        <v>770</v>
      </c>
    </row>
    <row r="3" ht="15" customHeight="1" spans="2:9">
      <c r="B3" s="6" t="s">
        <v>771</v>
      </c>
      <c r="C3" s="7"/>
      <c r="D3" s="8"/>
    </row>
    <row r="4" spans="2:9">
      <c r="B4" s="6" t="s">
        <v>274</v>
      </c>
      <c r="C4" s="7"/>
      <c r="D4" s="8"/>
    </row>
    <row r="5" ht="13.95" spans="2:9">
      <c r="B5" s="9" t="s">
        <v>772</v>
      </c>
      <c r="C5" s="10"/>
      <c r="D5" s="11"/>
    </row>
    <row r="6" ht="13.95" spans="2:9">
      <c r="B6" s="12" t="s">
        <v>788</v>
      </c>
      <c r="C6" s="13" t="s">
        <v>789</v>
      </c>
      <c r="D6" s="13" t="s">
        <v>790</v>
      </c>
    </row>
    <row r="7" ht="25.5" customHeight="1" spans="2:9">
      <c r="B7" s="12" t="s">
        <v>791</v>
      </c>
      <c r="C7" s="14"/>
      <c r="D7" s="15"/>
    </row>
    <row r="8" spans="2:9">
      <c r="B8" s="16" t="s">
        <v>782</v>
      </c>
      <c r="C8" s="17"/>
      <c r="D8" s="18"/>
    </row>
    <row r="9" spans="2:9">
      <c r="B9" s="19" t="s">
        <v>783</v>
      </c>
      <c r="C9" s="17"/>
      <c r="D9" s="18"/>
    </row>
    <row r="10" spans="2:9">
      <c r="B10" s="19" t="s">
        <v>784</v>
      </c>
      <c r="C10" s="17"/>
      <c r="D10" s="18"/>
    </row>
    <row r="11" ht="13.95" spans="2:9">
      <c r="B11" s="20" t="s">
        <v>785</v>
      </c>
      <c r="C11" s="21"/>
      <c r="D11" s="22"/>
    </row>
    <row r="12" ht="13.95" spans="2:9">
      <c r="B12" s="23"/>
      <c r="C12" s="24"/>
      <c r="D12" s="25"/>
    </row>
    <row r="13" ht="13.95" spans="2:9">
      <c r="B13" s="26" t="s">
        <v>169</v>
      </c>
      <c r="C13" s="27">
        <f>SUM(C8:C11)</f>
        <v>0</v>
      </c>
      <c r="D13" s="28">
        <f>SUM(D8:D11)</f>
        <v>0</v>
      </c>
    </row>
    <row r="14" spans="2:9">
      <c r="B14" s="29"/>
      <c r="C14" s="29"/>
      <c r="D14" s="29"/>
    </row>
    <row r="15" ht="29.25" customHeight="1" spans="2:9">
      <c r="B15" s="30" t="s">
        <v>787</v>
      </c>
      <c r="C15" s="30"/>
      <c r="D15" s="30"/>
    </row>
    <row r="16" s="1" customFormat="1" ht="15" spans="2:9">
      <c r="B16" s="21" t="s">
        <v>104</v>
      </c>
      <c r="C16" s="31"/>
      <c r="D16" s="31"/>
      <c r="E16" s="31"/>
      <c r="F16" s="31"/>
      <c r="G16" s="31"/>
      <c r="H16" s="31"/>
      <c r="I16" s="21"/>
    </row>
    <row r="17" spans="2:4">
      <c r="C17" s="32"/>
      <c r="D17" s="32"/>
    </row>
    <row r="18" spans="2:4">
      <c r="B18" s="33" t="s">
        <v>105</v>
      </c>
      <c r="C18" s="29"/>
      <c r="D18" s="29"/>
    </row>
    <row r="19" spans="2:4">
      <c r="B19" s="21"/>
      <c r="C19" s="29"/>
      <c r="D19" s="29"/>
    </row>
    <row r="20" spans="2:4">
      <c r="B20" s="34" t="s">
        <v>106</v>
      </c>
      <c r="C20" s="29"/>
      <c r="D20" s="29"/>
    </row>
    <row r="21" spans="2:4">
      <c r="B21" s="29" t="s">
        <v>107</v>
      </c>
      <c r="C21" s="29"/>
      <c r="D21" s="29"/>
    </row>
    <row r="22" spans="2:4">
      <c r="B22" s="35" t="s">
        <v>108</v>
      </c>
      <c r="C22" s="29"/>
      <c r="D22" s="29"/>
    </row>
    <row r="23" spans="2:4">
      <c r="B23" s="33"/>
      <c r="C23" s="29"/>
      <c r="D23" s="29"/>
    </row>
    <row r="24" spans="2:4">
      <c r="B24" s="29"/>
      <c r="C24" s="29"/>
      <c r="D24" s="29"/>
    </row>
    <row r="25" spans="2:4">
      <c r="B25" s="32"/>
    </row>
  </sheetData>
  <mergeCells count="6">
    <mergeCell ref="B3:D3"/>
    <mergeCell ref="B4:D4"/>
    <mergeCell ref="B5:D5"/>
    <mergeCell ref="B15:D15"/>
    <mergeCell ref="C6:C7"/>
    <mergeCell ref="D6:D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CPCESALTA</Company>
  <Application>Microsoft Excel Online</Application>
  <HeadingPairs>
    <vt:vector size="2" baseType="variant">
      <vt:variant>
        <vt:lpstr>工作表</vt:lpstr>
      </vt:variant>
      <vt:variant>
        <vt:i4>21</vt:i4>
      </vt:variant>
    </vt:vector>
  </HeadingPairs>
  <TitlesOfParts>
    <vt:vector size="21" baseType="lpstr">
      <vt:lpstr>CARATULA</vt:lpstr>
      <vt:lpstr>ESP</vt:lpstr>
      <vt:lpstr>E.R.</vt:lpstr>
      <vt:lpstr>EEPN</vt:lpstr>
      <vt:lpstr>EEPN otra version</vt:lpstr>
      <vt:lpstr>EF. IND.</vt:lpstr>
      <vt:lpstr>EF.DIR </vt:lpstr>
      <vt:lpstr>EF. Sintetico</vt:lpstr>
      <vt:lpstr>Notas</vt:lpstr>
      <vt:lpstr>Anexo I ActivosPasivos en ME</vt:lpstr>
      <vt:lpstr>Anexo II AyP por Venc.</vt:lpstr>
      <vt:lpstr>Anexo II AyP por Venc cont.</vt:lpstr>
      <vt:lpstr>Anexo III Bienes de Uso</vt:lpstr>
      <vt:lpstr>Anexo IV Prop de Inv VR</vt:lpstr>
      <vt:lpstr>Anexo IV Prop de Inv MC</vt:lpstr>
      <vt:lpstr>Anexo V Intangibles</vt:lpstr>
      <vt:lpstr>Anexo VI Previsiones</vt:lpstr>
      <vt:lpstr>Anexo VII Cto Bs.Vend-Ss.Prest</vt:lpstr>
      <vt:lpstr>Anexo VIII Cto Prod y Gto x Nat</vt:lpstr>
      <vt:lpstr>Anexo IX Trans y Sdo Part.Rel</vt:lpstr>
      <vt:lpstr>An.IX Trans y SdoPartRel (cont)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MODELOS ESTADOS BASICOS Y ANEXOS</dc:title>
  <dc:subject>Presentación de EECC</dc:subject>
  <dc:creator>SIcma01</dc:creator>
  <dc:description>Estados contables de entes comerciales, industriales y de servicios (RT 9)</dc:description>
  <cp:lastModifiedBy>admar</cp:lastModifiedBy>
  <dcterms:created xsi:type="dcterms:W3CDTF">1997-12-23T11:04:00Z</dcterms:created>
  <dcterms:modified xsi:type="dcterms:W3CDTF">2026-09-30T20:57:31Z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4B82C2E5A30340B5B7D65A4C58BC110B_13</vt:lpwstr>
  </property>
  <property fmtid="{D5CDD505-2E9C-101B-9397-08002B2CF9AE}" pid="3" name="KSOProductBuildVer">
    <vt:lpwstr>3082-12.1.0.28485</vt:lpwstr>
  </property>
  <property fmtid="{D5CDD505-2E9C-101B-9397-08002B2CF9AE}" pid="4" name="CalculationRule">
    <vt:i4>0</vt:i4>
  </property>
</Properties>
</file>